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tgi\Documents\Projects\Sales Discrepancy Shopify Excel 2026 07\"/>
    </mc:Choice>
  </mc:AlternateContent>
  <xr:revisionPtr revIDLastSave="0" documentId="13_ncr:1_{A6A86179-91C5-4057-8D9A-D220F274DBED}" xr6:coauthVersionLast="47" xr6:coauthVersionMax="47" xr10:uidLastSave="{00000000-0000-0000-0000-000000000000}"/>
  <bookViews>
    <workbookView xWindow="-108" yWindow="-108" windowWidth="23256" windowHeight="13896" xr2:uid="{9D93F009-D127-4C32-A6CD-54B9155A1705}"/>
  </bookViews>
  <sheets>
    <sheet name="Sales_Discrepancy_P&amp;L" sheetId="7" r:id="rId1"/>
    <sheet name="Dashboard" sheetId="18" r:id="rId2"/>
    <sheet name="Discount Drag" sheetId="15" r:id="rId3"/>
    <sheet name="Discounts" sheetId="20" r:id="rId4"/>
    <sheet name="Monthly NOI" sheetId="14" r:id="rId5"/>
    <sheet name="Gross to Net Ratio" sheetId="17" r:id="rId6"/>
    <sheet name="Income Analysis" sheetId="5" r:id="rId7"/>
    <sheet name="Sales Trend Analysis" sheetId="4" r:id="rId8"/>
    <sheet name="Analysis" sheetId="3" r:id="rId9"/>
    <sheet name="Data" sheetId="8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7" l="1"/>
  <c r="K13" i="8"/>
  <c r="K12" i="8"/>
  <c r="K11" i="8"/>
  <c r="K10" i="8"/>
  <c r="K9" i="8"/>
  <c r="K8" i="8"/>
  <c r="K7" i="8"/>
  <c r="K6" i="8"/>
  <c r="K5" i="8"/>
  <c r="K4" i="8"/>
  <c r="K3" i="8"/>
  <c r="K2" i="8"/>
  <c r="M13" i="8"/>
  <c r="M12" i="8"/>
  <c r="M11" i="8"/>
  <c r="M10" i="8"/>
  <c r="M9" i="8"/>
  <c r="M8" i="8"/>
  <c r="M7" i="8"/>
  <c r="M6" i="8"/>
  <c r="M5" i="8"/>
  <c r="M4" i="8"/>
  <c r="M3" i="8"/>
  <c r="M2" i="8"/>
  <c r="L13" i="8"/>
  <c r="L12" i="8"/>
  <c r="L11" i="8"/>
  <c r="L10" i="8"/>
  <c r="L9" i="8"/>
  <c r="L8" i="8"/>
  <c r="L7" i="8"/>
  <c r="L6" i="8"/>
  <c r="L5" i="8"/>
  <c r="L4" i="8"/>
  <c r="L3" i="8"/>
  <c r="L2" i="8"/>
  <c r="B24" i="7" l="1"/>
  <c r="O3" i="7"/>
  <c r="O17" i="7"/>
  <c r="O16" i="7"/>
  <c r="O15" i="7"/>
  <c r="O14" i="7"/>
  <c r="O10" i="7"/>
  <c r="O9" i="7"/>
  <c r="O5" i="7"/>
  <c r="O4" i="7"/>
  <c r="M24" i="7"/>
  <c r="L24" i="7"/>
  <c r="K24" i="7"/>
  <c r="J24" i="7"/>
  <c r="I24" i="7"/>
  <c r="H24" i="7"/>
  <c r="G24" i="7"/>
  <c r="F24" i="7"/>
  <c r="E24" i="7"/>
  <c r="D24" i="7"/>
  <c r="C24" i="7"/>
  <c r="M18" i="7"/>
  <c r="L18" i="7"/>
  <c r="K18" i="7"/>
  <c r="J18" i="7"/>
  <c r="I18" i="7"/>
  <c r="H18" i="7"/>
  <c r="G18" i="7"/>
  <c r="F18" i="7"/>
  <c r="E18" i="7"/>
  <c r="D18" i="7"/>
  <c r="C18" i="7"/>
  <c r="B18" i="7"/>
  <c r="N17" i="7"/>
  <c r="N16" i="7"/>
  <c r="N15" i="7"/>
  <c r="N14" i="7"/>
  <c r="M11" i="7"/>
  <c r="L11" i="7"/>
  <c r="K11" i="7"/>
  <c r="J11" i="7"/>
  <c r="I11" i="7"/>
  <c r="H11" i="7"/>
  <c r="G11" i="7"/>
  <c r="F11" i="7"/>
  <c r="E11" i="7"/>
  <c r="D11" i="7"/>
  <c r="C11" i="7"/>
  <c r="B11" i="7"/>
  <c r="N10" i="7"/>
  <c r="N9" i="7"/>
  <c r="M6" i="7"/>
  <c r="M21" i="7" s="1"/>
  <c r="M22" i="7" s="1"/>
  <c r="L6" i="7"/>
  <c r="L21" i="7" s="1"/>
  <c r="L22" i="7" s="1"/>
  <c r="K6" i="7"/>
  <c r="K21" i="7" s="1"/>
  <c r="K22" i="7" s="1"/>
  <c r="J6" i="7"/>
  <c r="J21" i="7" s="1"/>
  <c r="I6" i="7"/>
  <c r="I21" i="7" s="1"/>
  <c r="H6" i="7"/>
  <c r="H21" i="7" s="1"/>
  <c r="G6" i="7"/>
  <c r="G21" i="7" s="1"/>
  <c r="F6" i="7"/>
  <c r="F21" i="7" s="1"/>
  <c r="E6" i="7"/>
  <c r="E23" i="7" s="1"/>
  <c r="D6" i="7"/>
  <c r="D21" i="7" s="1"/>
  <c r="C6" i="7"/>
  <c r="C21" i="7" s="1"/>
  <c r="B6" i="7"/>
  <c r="B23" i="7" s="1"/>
  <c r="N5" i="7"/>
  <c r="N4" i="7"/>
  <c r="N3" i="7"/>
  <c r="N11" i="7" l="1"/>
  <c r="C23" i="7"/>
  <c r="N6" i="7"/>
  <c r="O18" i="7"/>
  <c r="B21" i="7"/>
  <c r="N23" i="7"/>
  <c r="N21" i="7"/>
  <c r="N22" i="7" s="1"/>
  <c r="D23" i="7"/>
  <c r="F23" i="7"/>
  <c r="O11" i="7"/>
  <c r="N24" i="7"/>
  <c r="N18" i="7"/>
  <c r="D22" i="7"/>
  <c r="D26" i="7"/>
  <c r="D25" i="7" s="1"/>
  <c r="O6" i="7"/>
  <c r="G23" i="7"/>
  <c r="G22" i="7"/>
  <c r="G26" i="7"/>
  <c r="G25" i="7" s="1"/>
  <c r="F26" i="7"/>
  <c r="F25" i="7" s="1"/>
  <c r="F22" i="7"/>
  <c r="H22" i="7"/>
  <c r="H26" i="7"/>
  <c r="H25" i="7" s="1"/>
  <c r="C22" i="7"/>
  <c r="C26" i="7"/>
  <c r="C25" i="7" s="1"/>
  <c r="J22" i="7"/>
  <c r="J26" i="7"/>
  <c r="J25" i="7" s="1"/>
  <c r="I22" i="7"/>
  <c r="I26" i="7"/>
  <c r="I25" i="7" s="1"/>
  <c r="I23" i="7"/>
  <c r="K23" i="7"/>
  <c r="L23" i="7"/>
  <c r="M23" i="7"/>
  <c r="E21" i="7"/>
  <c r="K26" i="7"/>
  <c r="K25" i="7" s="1"/>
  <c r="H23" i="7"/>
  <c r="M26" i="7"/>
  <c r="M25" i="7" s="1"/>
  <c r="J23" i="7"/>
  <c r="L26" i="7"/>
  <c r="L25" i="7" s="1"/>
  <c r="O21" i="7" l="1"/>
  <c r="B22" i="7"/>
  <c r="B26" i="7"/>
  <c r="B25" i="7" s="1"/>
  <c r="R2" i="7"/>
  <c r="N26" i="7"/>
  <c r="N25" i="7" s="1"/>
  <c r="O23" i="7"/>
  <c r="E22" i="7"/>
  <c r="E26" i="7"/>
  <c r="O22" i="7" l="1"/>
  <c r="E25" i="7"/>
  <c r="O25" i="7" s="1"/>
  <c r="O26" i="7"/>
  <c r="R8" i="7"/>
  <c r="R9" i="7"/>
  <c r="R10" i="7" s="1"/>
  <c r="R4" i="7" l="1"/>
  <c r="R12" i="7"/>
  <c r="R7" i="7"/>
</calcChain>
</file>

<file path=xl/sharedStrings.xml><?xml version="1.0" encoding="utf-8"?>
<sst xmlns="http://schemas.openxmlformats.org/spreadsheetml/2006/main" count="228" uniqueCount="73">
  <si>
    <t>P&amp;L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</si>
  <si>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</si>
  <si>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</si>
  <si>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</si>
  <si>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</si>
  <si>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</si>
  <si>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</si>
  <si>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</si>
  <si>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</si>
  <si>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</si>
  <si>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</si>
  <si>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</si>
  <si>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</si>
  <si>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Gross Sales</t>
  </si>
  <si>
    <t>Discounts</t>
  </si>
  <si>
    <t>Refunds</t>
  </si>
  <si>
    <t>Cost of Goods Sold (COGS)</t>
  </si>
  <si>
    <t>Gross Profit Margin (%)</t>
  </si>
  <si>
    <t>Month End Inventory</t>
  </si>
  <si>
    <t>Monthly Inventory Turnover Ratio</t>
  </si>
  <si>
    <t>Operating Expenses</t>
  </si>
  <si>
    <t>Marketing &amp; Advertising</t>
  </si>
  <si>
    <t>Merchant &amp; Processing Fees</t>
  </si>
  <si>
    <t>Payroll &amp; Software</t>
  </si>
  <si>
    <t>Rent &amp; General Overhead</t>
  </si>
  <si>
    <t>Total Operating Expenses</t>
  </si>
  <si>
    <t>Net Operating Income</t>
  </si>
  <si>
    <t>Operating Margin (%)</t>
  </si>
  <si>
    <t>Net Operating Income (Operating Profit)</t>
  </si>
  <si>
    <t>Gross to Net Ratio</t>
  </si>
  <si>
    <t>Net Sales</t>
  </si>
  <si>
    <t>Revenue</t>
  </si>
  <si>
    <t xml:space="preserve">Cost </t>
  </si>
  <si>
    <t xml:space="preserve">Gross Profit </t>
  </si>
  <si>
    <t>Margin &amp; Cost Analysis</t>
  </si>
  <si>
    <t>Month</t>
  </si>
  <si>
    <t>Discount Rate</t>
  </si>
  <si>
    <t xml:space="preserve">Gross Sales </t>
  </si>
  <si>
    <t>COGS</t>
  </si>
  <si>
    <t>12 Month Net Operating Income Analysis</t>
  </si>
  <si>
    <t>Discount Drag %</t>
  </si>
  <si>
    <t>12 Month Sales Trend Analysis</t>
  </si>
  <si>
    <t>Gross Margin %</t>
  </si>
  <si>
    <t>Operating Margin %</t>
  </si>
  <si>
    <t xml:space="preserve">YTD Total </t>
  </si>
  <si>
    <t>AVG (not incl March)</t>
  </si>
  <si>
    <t>One tenth of damage for the month of March</t>
  </si>
  <si>
    <t>Summary</t>
  </si>
  <si>
    <t>Sales volume declined by 13.88%</t>
  </si>
  <si>
    <t>Discount Drag -</t>
  </si>
  <si>
    <t>Average Margin Erosion is 3.08%, normally ranges from 2%-4%</t>
  </si>
  <si>
    <t>Difference from avg Margin Erosion to March month erosion</t>
  </si>
  <si>
    <t>Total amount of profit lost for the month of March</t>
  </si>
  <si>
    <t>Net Operating Income loss in March of (-$5367.00) due to $21,000 in discounts</t>
  </si>
  <si>
    <t>Total</t>
  </si>
  <si>
    <t xml:space="preserve">           </t>
  </si>
  <si>
    <t xml:space="preserve">Gross Profit Margin comparison </t>
  </si>
  <si>
    <t xml:space="preserve">      - March was 16.58% less efficient than the avg of  the 11 other months</t>
  </si>
  <si>
    <t xml:space="preserve">      - March was 960% more severe than the average</t>
  </si>
  <si>
    <t xml:space="preserve">      - 9.6 months of damage in the month of March</t>
  </si>
  <si>
    <t>NOI</t>
  </si>
  <si>
    <t>Margin Erosion</t>
  </si>
  <si>
    <t>Operating Margin</t>
  </si>
  <si>
    <t>Gross Profit Margin</t>
  </si>
  <si>
    <t>Grand Total</t>
  </si>
  <si>
    <t>Sum of Discounts</t>
  </si>
  <si>
    <t>Sum of Gross to Net Ratio</t>
  </si>
  <si>
    <t>Sum of Discount Drag</t>
  </si>
  <si>
    <t>Sum of NOI (Net Operating Income)</t>
  </si>
  <si>
    <t>Months</t>
  </si>
  <si>
    <t>Discount Drag</t>
  </si>
  <si>
    <t>12 Month Income Analysis</t>
  </si>
  <si>
    <t>Discount Drag %  (baseline usually 2%-4%)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</si>
</sst>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  <numFmt numFmtId="166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C407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4">
    <xf numFmtId="0" fontId="0" fillId="0" borderId="0" xfId="0"/>
    <xf numFmtId="0" fontId="0" fillId="33" borderId="0" xfId="0" applyFill="1"/>
    <xf numFmtId="10" fontId="0" fillId="33" borderId="0" xfId="1" applyNumberFormat="1" applyFont="1" applyFill="1" applyBorder="1"/>
    <xf numFmtId="0" fontId="0" fillId="33" borderId="16" xfId="0" applyFill="1" applyBorder="1"/>
    <xf numFmtId="0" fontId="0" fillId="33" borderId="21" xfId="0" applyFill="1" applyBorder="1"/>
    <xf numFmtId="10" fontId="0" fillId="33" borderId="18" xfId="1" applyNumberFormat="1" applyFont="1" applyFill="1" applyBorder="1"/>
    <xf numFmtId="10" fontId="0" fillId="33" borderId="20" xfId="1" applyNumberFormat="1" applyFont="1" applyFill="1" applyBorder="1"/>
    <xf numFmtId="10" fontId="0" fillId="33" borderId="13" xfId="1" applyNumberFormat="1" applyFont="1" applyFill="1" applyBorder="1"/>
    <xf numFmtId="10" fontId="0" fillId="33" borderId="18" xfId="0" applyNumberFormat="1" applyFill="1" applyBorder="1"/>
    <xf numFmtId="10" fontId="0" fillId="33" borderId="20" xfId="0" applyNumberFormat="1" applyFill="1" applyBorder="1"/>
    <xf numFmtId="10" fontId="0" fillId="33" borderId="21" xfId="1" applyNumberFormat="1" applyFont="1" applyFill="1" applyBorder="1"/>
    <xf numFmtId="10" fontId="0" fillId="33" borderId="11" xfId="1" applyNumberFormat="1" applyFont="1" applyFill="1" applyBorder="1"/>
    <xf numFmtId="10" fontId="0" fillId="33" borderId="22" xfId="1" applyNumberFormat="1" applyFont="1" applyFill="1" applyBorder="1"/>
    <xf numFmtId="164" fontId="0" fillId="0" borderId="0" xfId="0" applyNumberFormat="1"/>
    <xf numFmtId="10" fontId="0" fillId="0" borderId="0" xfId="0" applyNumberFormat="1"/>
    <xf numFmtId="0" fontId="0" fillId="0" borderId="28" xfId="0" applyBorder="1" applyAlignment="1">
      <alignment horizontal="center"/>
    </xf>
    <xf numFmtId="10" fontId="1" fillId="0" borderId="10" xfId="1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0" fontId="1" fillId="0" borderId="32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10" fontId="1" fillId="0" borderId="35" xfId="1" applyNumberFormat="1" applyFont="1" applyBorder="1" applyAlignment="1">
      <alignment horizontal="center"/>
    </xf>
    <xf numFmtId="0" fontId="0" fillId="34" borderId="34" xfId="0" applyFill="1" applyBorder="1" applyAlignment="1">
      <alignment horizontal="center"/>
    </xf>
    <xf numFmtId="10" fontId="1" fillId="34" borderId="35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0" fontId="13" fillId="35" borderId="10" xfId="0" applyFont="1" applyFill="1" applyBorder="1" applyAlignment="1">
      <alignment horizontal="center"/>
    </xf>
    <xf numFmtId="164" fontId="13" fillId="35" borderId="10" xfId="0" applyNumberFormat="1" applyFont="1" applyFill="1" applyBorder="1" applyAlignment="1">
      <alignment horizontal="center"/>
    </xf>
    <xf numFmtId="10" fontId="13" fillId="35" borderId="10" xfId="0" applyNumberFormat="1" applyFont="1" applyFill="1" applyBorder="1" applyAlignment="1">
      <alignment horizontal="center"/>
    </xf>
    <xf numFmtId="0" fontId="13" fillId="35" borderId="24" xfId="0" applyFont="1" applyFill="1" applyBorder="1" applyAlignment="1">
      <alignment horizontal="center"/>
    </xf>
    <xf numFmtId="10" fontId="13" fillId="35" borderId="25" xfId="0" applyNumberFormat="1" applyFont="1" applyFill="1" applyBorder="1" applyAlignment="1">
      <alignment horizontal="center"/>
    </xf>
    <xf numFmtId="0" fontId="0" fillId="33" borderId="41" xfId="0" applyFill="1" applyBorder="1"/>
    <xf numFmtId="0" fontId="13" fillId="35" borderId="42" xfId="0" applyFont="1" applyFill="1" applyBorder="1"/>
    <xf numFmtId="0" fontId="13" fillId="35" borderId="43" xfId="0" applyFont="1" applyFill="1" applyBorder="1"/>
    <xf numFmtId="0" fontId="13" fillId="35" borderId="44" xfId="0" applyFont="1" applyFill="1" applyBorder="1"/>
    <xf numFmtId="0" fontId="18" fillId="33" borderId="40" xfId="0" applyFont="1" applyFill="1" applyBorder="1"/>
    <xf numFmtId="0" fontId="13" fillId="35" borderId="46" xfId="0" applyFont="1" applyFill="1" applyBorder="1"/>
    <xf numFmtId="0" fontId="0" fillId="33" borderId="46" xfId="0" applyFill="1" applyBorder="1"/>
    <xf numFmtId="0" fontId="13" fillId="35" borderId="41" xfId="0" applyFont="1" applyFill="1" applyBorder="1"/>
    <xf numFmtId="0" fontId="0" fillId="33" borderId="47" xfId="0" applyFill="1" applyBorder="1"/>
    <xf numFmtId="0" fontId="0" fillId="33" borderId="48" xfId="0" applyFill="1" applyBorder="1"/>
    <xf numFmtId="0" fontId="0" fillId="33" borderId="49" xfId="0" applyFill="1" applyBorder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8" fontId="0" fillId="0" borderId="58" xfId="0" applyNumberForma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33" borderId="53" xfId="0" applyFill="1" applyBorder="1" applyAlignment="1">
      <alignment horizontal="center"/>
    </xf>
    <xf numFmtId="10" fontId="0" fillId="0" borderId="50" xfId="0" applyNumberFormat="1" applyBorder="1" applyAlignment="1">
      <alignment horizontal="center"/>
    </xf>
    <xf numFmtId="0" fontId="0" fillId="33" borderId="55" xfId="0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4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0" xfId="0" applyBorder="1" applyAlignment="1">
      <alignment horizontal="left"/>
    </xf>
    <xf numFmtId="10" fontId="0" fillId="0" borderId="0" xfId="1" applyNumberFormat="1" applyFont="1" applyBorder="1" applyAlignment="1">
      <alignment horizontal="center"/>
    </xf>
    <xf numFmtId="0" fontId="13" fillId="33" borderId="61" xfId="0" applyFont="1" applyFill="1" applyBorder="1" applyAlignment="1">
      <alignment horizontal="center"/>
    </xf>
    <xf numFmtId="0" fontId="13" fillId="35" borderId="62" xfId="0" applyFont="1" applyFill="1" applyBorder="1"/>
    <xf numFmtId="164" fontId="13" fillId="35" borderId="63" xfId="0" applyNumberFormat="1" applyFont="1" applyFill="1" applyBorder="1" applyAlignment="1">
      <alignment horizontal="center"/>
    </xf>
    <xf numFmtId="164" fontId="0" fillId="0" borderId="53" xfId="0" applyNumberFormat="1" applyBorder="1" applyAlignment="1">
      <alignment horizontal="right"/>
    </xf>
    <xf numFmtId="10" fontId="0" fillId="0" borderId="53" xfId="1" applyNumberFormat="1" applyFon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65" xfId="0" applyBorder="1" applyAlignment="1">
      <alignment horizontal="left"/>
    </xf>
    <xf numFmtId="10" fontId="0" fillId="0" borderId="66" xfId="0" applyNumberFormat="1" applyBorder="1" applyAlignment="1">
      <alignment horizontal="center"/>
    </xf>
    <xf numFmtId="10" fontId="0" fillId="0" borderId="66" xfId="1" applyNumberFormat="1" applyFont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10" fontId="0" fillId="0" borderId="36" xfId="0" applyNumberFormat="1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64" xfId="0" applyBorder="1" applyAlignment="1">
      <alignment horizontal="center"/>
    </xf>
    <xf numFmtId="10" fontId="0" fillId="0" borderId="67" xfId="0" applyNumberFormat="1" applyBorder="1" applyAlignment="1">
      <alignment horizontal="center"/>
    </xf>
    <xf numFmtId="10" fontId="0" fillId="0" borderId="67" xfId="1" applyNumberFormat="1" applyFont="1" applyBorder="1" applyAlignment="1">
      <alignment horizontal="center"/>
    </xf>
    <xf numFmtId="164" fontId="16" fillId="36" borderId="67" xfId="0" applyNumberFormat="1" applyFont="1" applyFill="1" applyBorder="1" applyAlignment="1">
      <alignment horizontal="right"/>
    </xf>
    <xf numFmtId="164" fontId="0" fillId="0" borderId="53" xfId="0" applyNumberFormat="1" applyBorder="1" applyAlignment="1">
      <alignment horizontal="center"/>
    </xf>
    <xf numFmtId="164" fontId="16" fillId="36" borderId="67" xfId="0" applyNumberFormat="1" applyFont="1" applyFill="1" applyBorder="1" applyAlignment="1">
      <alignment horizontal="center"/>
    </xf>
    <xf numFmtId="164" fontId="13" fillId="35" borderId="57" xfId="0" applyNumberFormat="1" applyFont="1" applyFill="1" applyBorder="1" applyAlignment="1">
      <alignment horizontal="center"/>
    </xf>
    <xf numFmtId="164" fontId="0" fillId="0" borderId="67" xfId="0" applyNumberFormat="1" applyBorder="1" applyAlignment="1">
      <alignment horizontal="center"/>
    </xf>
    <xf numFmtId="164" fontId="0" fillId="0" borderId="58" xfId="0" applyNumberFormat="1" applyBorder="1" applyAlignment="1">
      <alignment horizontal="center"/>
    </xf>
    <xf numFmtId="0" fontId="13" fillId="35" borderId="45" xfId="0" applyFont="1" applyFill="1" applyBorder="1" applyAlignment="1">
      <alignment horizontal="center"/>
    </xf>
    <xf numFmtId="164" fontId="0" fillId="33" borderId="48" xfId="0" applyNumberFormat="1" applyFill="1" applyBorder="1"/>
    <xf numFmtId="164" fontId="0" fillId="33" borderId="47" xfId="0" applyNumberFormat="1" applyFill="1" applyBorder="1"/>
    <xf numFmtId="10" fontId="0" fillId="33" borderId="47" xfId="0" applyNumberFormat="1" applyFill="1" applyBorder="1"/>
    <xf numFmtId="164" fontId="0" fillId="33" borderId="46" xfId="0" applyNumberFormat="1" applyFill="1" applyBorder="1"/>
    <xf numFmtId="10" fontId="0" fillId="0" borderId="0" xfId="1" applyNumberFormat="1" applyFont="1"/>
    <xf numFmtId="0" fontId="16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7" fillId="35" borderId="0" xfId="0" applyFont="1" applyFill="1" applyAlignment="1">
      <alignment textRotation="45"/>
    </xf>
    <xf numFmtId="0" fontId="17" fillId="35" borderId="0" xfId="0" applyFont="1" applyFill="1" applyAlignment="1">
      <alignment horizontal="left"/>
    </xf>
    <xf numFmtId="164" fontId="17" fillId="35" borderId="0" xfId="0" applyNumberFormat="1" applyFont="1" applyFill="1"/>
    <xf numFmtId="10" fontId="17" fillId="35" borderId="0" xfId="0" applyNumberFormat="1" applyFont="1" applyFill="1"/>
    <xf numFmtId="0" fontId="17" fillId="35" borderId="0" xfId="0" applyFont="1" applyFill="1"/>
    <xf numFmtId="164" fontId="13" fillId="35" borderId="28" xfId="0" applyNumberFormat="1" applyFont="1" applyFill="1" applyBorder="1" applyAlignment="1">
      <alignment horizontal="center"/>
    </xf>
    <xf numFmtId="10" fontId="0" fillId="0" borderId="28" xfId="0" applyNumberFormat="1" applyBorder="1" applyAlignment="1">
      <alignment horizontal="center"/>
    </xf>
    <xf numFmtId="10" fontId="0" fillId="34" borderId="28" xfId="0" applyNumberFormat="1" applyFill="1" applyBorder="1" applyAlignment="1">
      <alignment horizontal="center"/>
    </xf>
    <xf numFmtId="0" fontId="13" fillId="35" borderId="68" xfId="0" applyFont="1" applyFill="1" applyBorder="1"/>
    <xf numFmtId="0" fontId="0" fillId="0" borderId="27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3" xfId="0" applyBorder="1" applyAlignment="1">
      <alignment horizontal="left"/>
    </xf>
    <xf numFmtId="10" fontId="0" fillId="0" borderId="37" xfId="0" applyNumberFormat="1" applyBorder="1" applyAlignment="1">
      <alignment horizontal="left"/>
    </xf>
    <xf numFmtId="0" fontId="0" fillId="0" borderId="69" xfId="0" applyBorder="1" applyAlignment="1">
      <alignment horizontal="left"/>
    </xf>
    <xf numFmtId="165" fontId="13" fillId="35" borderId="25" xfId="0" applyNumberFormat="1" applyFont="1" applyFill="1" applyBorder="1" applyAlignment="1">
      <alignment horizontal="center"/>
    </xf>
    <xf numFmtId="165" fontId="13" fillId="35" borderId="26" xfId="0" applyNumberFormat="1" applyFont="1" applyFill="1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165" fontId="0" fillId="33" borderId="29" xfId="0" applyNumberFormat="1" applyFill="1" applyBorder="1" applyAlignment="1">
      <alignment horizontal="center"/>
    </xf>
    <xf numFmtId="165" fontId="0" fillId="33" borderId="32" xfId="0" applyNumberFormat="1" applyFill="1" applyBorder="1" applyAlignment="1">
      <alignment horizontal="center"/>
    </xf>
    <xf numFmtId="165" fontId="0" fillId="33" borderId="0" xfId="0" applyNumberFormat="1" applyFill="1" applyAlignment="1">
      <alignment horizontal="center"/>
    </xf>
    <xf numFmtId="165" fontId="0" fillId="33" borderId="35" xfId="0" applyNumberFormat="1" applyFill="1" applyBorder="1" applyAlignment="1">
      <alignment horizontal="center"/>
    </xf>
    <xf numFmtId="165" fontId="0" fillId="33" borderId="36" xfId="0" applyNumberFormat="1" applyFill="1" applyBorder="1" applyAlignment="1">
      <alignment horizontal="center"/>
    </xf>
    <xf numFmtId="165" fontId="0" fillId="34" borderId="35" xfId="0" applyNumberFormat="1" applyFill="1" applyBorder="1" applyAlignment="1">
      <alignment horizontal="center"/>
    </xf>
    <xf numFmtId="165" fontId="0" fillId="34" borderId="36" xfId="0" applyNumberFormat="1" applyFill="1" applyBorder="1" applyAlignment="1">
      <alignment horizontal="center"/>
    </xf>
    <xf numFmtId="165" fontId="13" fillId="35" borderId="27" xfId="0" applyNumberFormat="1" applyFont="1" applyFill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165" fontId="0" fillId="34" borderId="37" xfId="0" applyNumberFormat="1" applyFill="1" applyBorder="1" applyAlignment="1">
      <alignment horizontal="center"/>
    </xf>
    <xf numFmtId="165" fontId="13" fillId="35" borderId="10" xfId="0" applyNumberFormat="1" applyFon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36" xfId="0" applyNumberFormat="1" applyBorder="1" applyAlignment="1">
      <alignment horizontal="center"/>
    </xf>
    <xf numFmtId="6" fontId="0" fillId="33" borderId="18" xfId="0" applyNumberFormat="1" applyFill="1" applyBorder="1"/>
    <xf numFmtId="6" fontId="0" fillId="33" borderId="11" xfId="0" applyNumberFormat="1" applyFill="1" applyBorder="1"/>
    <xf numFmtId="6" fontId="0" fillId="33" borderId="21" xfId="0" applyNumberFormat="1" applyFill="1" applyBorder="1"/>
    <xf numFmtId="6" fontId="0" fillId="0" borderId="50" xfId="0" applyNumberFormat="1" applyBorder="1" applyAlignment="1">
      <alignment horizontal="center"/>
    </xf>
    <xf numFmtId="6" fontId="0" fillId="33" borderId="13" xfId="0" applyNumberFormat="1" applyFill="1" applyBorder="1"/>
    <xf numFmtId="6" fontId="0" fillId="33" borderId="23" xfId="0" applyNumberFormat="1" applyFill="1" applyBorder="1"/>
    <xf numFmtId="6" fontId="0" fillId="33" borderId="0" xfId="0" applyNumberFormat="1" applyFill="1"/>
    <xf numFmtId="6" fontId="0" fillId="33" borderId="15" xfId="0" applyNumberFormat="1" applyFill="1" applyBorder="1"/>
    <xf numFmtId="6" fontId="0" fillId="0" borderId="51" xfId="0" applyNumberFormat="1" applyBorder="1" applyAlignment="1">
      <alignment horizontal="center"/>
    </xf>
    <xf numFmtId="6" fontId="0" fillId="33" borderId="16" xfId="0" applyNumberFormat="1" applyFill="1" applyBorder="1"/>
    <xf numFmtId="6" fontId="0" fillId="33" borderId="20" xfId="0" applyNumberFormat="1" applyFill="1" applyBorder="1"/>
    <xf numFmtId="6" fontId="0" fillId="33" borderId="0" xfId="1" applyNumberFormat="1" applyFont="1" applyFill="1" applyBorder="1"/>
    <xf numFmtId="6" fontId="0" fillId="33" borderId="52" xfId="0" applyNumberFormat="1" applyFill="1" applyBorder="1" applyAlignment="1">
      <alignment horizontal="center"/>
    </xf>
    <xf numFmtId="6" fontId="0" fillId="33" borderId="53" xfId="0" applyNumberFormat="1" applyFill="1" applyBorder="1" applyAlignment="1">
      <alignment horizontal="center"/>
    </xf>
    <xf numFmtId="6" fontId="0" fillId="0" borderId="54" xfId="0" applyNumberFormat="1" applyBorder="1" applyAlignment="1">
      <alignment horizontal="center"/>
    </xf>
    <xf numFmtId="6" fontId="0" fillId="33" borderId="14" xfId="0" applyNumberFormat="1" applyFill="1" applyBorder="1"/>
    <xf numFmtId="6" fontId="0" fillId="33" borderId="22" xfId="0" applyNumberFormat="1" applyFill="1" applyBorder="1"/>
    <xf numFmtId="6" fontId="0" fillId="33" borderId="12" xfId="0" applyNumberFormat="1" applyFill="1" applyBorder="1"/>
    <xf numFmtId="6" fontId="0" fillId="33" borderId="17" xfId="0" applyNumberFormat="1" applyFill="1" applyBorder="1"/>
    <xf numFmtId="6" fontId="0" fillId="0" borderId="55" xfId="0" applyNumberFormat="1" applyBorder="1" applyAlignment="1">
      <alignment horizontal="center"/>
    </xf>
    <xf numFmtId="6" fontId="0" fillId="33" borderId="19" xfId="0" applyNumberFormat="1" applyFill="1" applyBorder="1"/>
    <xf numFmtId="6" fontId="0" fillId="33" borderId="55" xfId="0" applyNumberFormat="1" applyFill="1" applyBorder="1" applyAlignment="1">
      <alignment horizontal="center"/>
    </xf>
    <xf numFmtId="6" fontId="0" fillId="33" borderId="38" xfId="0" applyNumberFormat="1" applyFill="1" applyBorder="1"/>
    <xf numFmtId="6" fontId="0" fillId="33" borderId="39" xfId="0" applyNumberFormat="1" applyFill="1" applyBorder="1"/>
    <xf numFmtId="6" fontId="0" fillId="33" borderId="56" xfId="0" applyNumberFormat="1" applyFill="1" applyBorder="1"/>
    <xf numFmtId="6" fontId="0" fillId="0" borderId="59" xfId="0" applyNumberFormat="1" applyBorder="1" applyAlignment="1">
      <alignment horizontal="center"/>
    </xf>
    <xf numFmtId="6" fontId="0" fillId="0" borderId="0" xfId="0" applyNumberFormat="1"/>
    <xf numFmtId="165" fontId="0" fillId="33" borderId="18" xfId="0" applyNumberFormat="1" applyFill="1" applyBorder="1"/>
    <xf numFmtId="165" fontId="0" fillId="33" borderId="13" xfId="0" applyNumberFormat="1" applyFill="1" applyBorder="1"/>
    <xf numFmtId="165" fontId="0" fillId="33" borderId="20" xfId="0" applyNumberFormat="1" applyFill="1" applyBorder="1"/>
    <xf numFmtId="165" fontId="0" fillId="33" borderId="14" xfId="0" applyNumberFormat="1" applyFill="1" applyBorder="1"/>
    <xf numFmtId="165" fontId="0" fillId="33" borderId="16" xfId="0" applyNumberFormat="1" applyFill="1" applyBorder="1"/>
    <xf numFmtId="165" fontId="0" fillId="33" borderId="11" xfId="0" applyNumberFormat="1" applyFill="1" applyBorder="1"/>
    <xf numFmtId="165" fontId="0" fillId="33" borderId="23" xfId="0" applyNumberFormat="1" applyFill="1" applyBorder="1"/>
    <xf numFmtId="165" fontId="0" fillId="33" borderId="22" xfId="0" applyNumberFormat="1" applyFill="1" applyBorder="1"/>
    <xf numFmtId="165" fontId="0" fillId="33" borderId="21" xfId="0" applyNumberFormat="1" applyFill="1" applyBorder="1"/>
    <xf numFmtId="165" fontId="0" fillId="33" borderId="0" xfId="0" applyNumberFormat="1" applyFill="1"/>
    <xf numFmtId="165" fontId="0" fillId="33" borderId="12" xfId="0" applyNumberFormat="1" applyFill="1" applyBorder="1"/>
    <xf numFmtId="165" fontId="0" fillId="33" borderId="19" xfId="0" applyNumberFormat="1" applyFill="1" applyBorder="1"/>
    <xf numFmtId="165" fontId="0" fillId="0" borderId="0" xfId="0" applyNumberFormat="1"/>
    <xf numFmtId="165" fontId="17" fillId="35" borderId="0" xfId="0" applyNumberFormat="1" applyFont="1" applyFill="1"/>
    <xf numFmtId="0" fontId="0" fillId="0" borderId="0" xfId="0" applyAlignment="1">
      <alignment textRotation="45"/>
    </xf>
    <xf numFmtId="0" fontId="17" fillId="33" borderId="0" xfId="0" applyFont="1" applyFill="1" applyAlignment="1">
      <alignment textRotation="45"/>
    </xf>
    <xf numFmtId="0" fontId="17" fillId="33" borderId="0" xfId="0" applyFont="1" applyFill="1"/>
    <xf numFmtId="166" fontId="17" fillId="35" borderId="0" xfId="1" applyNumberFormat="1" applyFont="1" applyFill="1"/>
    <xf numFmtId="166" fontId="0" fillId="0" borderId="0" xfId="1" applyNumberFormat="1" applyFont="1"/>
    <xf numFmtId="165" fontId="0" fillId="0" borderId="0" xfId="1" applyNumberFormat="1" applyFont="1"/>
    <xf numFmtId="0" fontId="17" fillId="37" borderId="0" xfId="0" applyFont="1" applyFill="1"/>
    <xf numFmtId="0" fontId="0" fillId="0" borderId="53" xfId="0" applyBorder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0">
    <dxf>
      <numFmt numFmtId="166" formatCode="0.0%"/>
    </dxf>
    <dxf>
      <numFmt numFmtId="166" formatCode="0.0%"/>
    </dxf>
    <dxf>
      <alignment textRotation="0"/>
    </dxf>
    <dxf>
      <font>
        <color theme="0"/>
      </font>
    </dxf>
    <dxf>
      <fill>
        <patternFill patternType="solid">
          <bgColor rgb="FF0C407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C4070"/>
        </patternFill>
      </fill>
    </dxf>
    <dxf>
      <fill>
        <patternFill patternType="solid">
          <bgColor rgb="FF0C4070"/>
        </patternFill>
      </fill>
    </dxf>
    <dxf>
      <font>
        <color theme="0"/>
      </font>
    </dxf>
    <dxf>
      <fill>
        <patternFill patternType="solid">
          <bgColor rgb="FF0C4070"/>
        </patternFill>
      </fill>
    </dxf>
    <dxf>
      <font>
        <i/>
      </font>
    </dxf>
    <dxf>
      <font>
        <u val="none"/>
      </font>
    </dxf>
    <dxf>
      <font>
        <b/>
      </font>
    </dxf>
    <dxf>
      <alignment textRotation="45"/>
    </dxf>
    <dxf>
      <numFmt numFmtId="14" formatCode="0.00%"/>
    </dxf>
    <dxf>
      <numFmt numFmtId="14" formatCode="0.00%"/>
    </dxf>
    <dxf>
      <alignment textRotation="0"/>
    </dxf>
    <dxf>
      <font>
        <color theme="0"/>
      </font>
    </dxf>
    <dxf>
      <fill>
        <patternFill patternType="solid">
          <bgColor rgb="FF0C407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C4070"/>
        </patternFill>
      </fill>
    </dxf>
    <dxf>
      <fill>
        <patternFill patternType="solid">
          <bgColor rgb="FF0C4070"/>
        </patternFill>
      </fill>
    </dxf>
    <dxf>
      <font>
        <color theme="0"/>
      </font>
    </dxf>
    <dxf>
      <fill>
        <patternFill patternType="solid">
          <bgColor rgb="FF0C4070"/>
        </patternFill>
      </fill>
    </dxf>
    <dxf>
      <font>
        <i/>
      </font>
    </dxf>
    <dxf>
      <font>
        <u val="none"/>
      </font>
    </dxf>
    <dxf>
      <font>
        <b/>
      </font>
    </dxf>
    <dxf>
      <alignment textRotation="45"/>
    </dxf>
    <dxf>
      <alignment textRotation="0"/>
    </dxf>
    <dxf>
      <alignment textRotation="0"/>
    </dxf>
    <dxf>
      <font>
        <color theme="0"/>
      </font>
    </dxf>
    <dxf>
      <fill>
        <patternFill patternType="solid">
          <bgColor rgb="FF0C4070"/>
        </patternFill>
      </fill>
    </dxf>
    <dxf>
      <font>
        <color theme="0"/>
      </font>
    </dxf>
    <dxf>
      <fill>
        <patternFill>
          <bgColor rgb="FF0C4070"/>
        </patternFill>
      </fill>
    </dxf>
    <dxf>
      <alignment textRotation="45"/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solid">
          <bgColor rgb="FF0C4070"/>
        </patternFill>
      </fill>
    </dxf>
    <dxf>
      <fill>
        <patternFill patternType="solid">
          <bgColor rgb="FF0C4070"/>
        </patternFill>
      </fill>
    </dxf>
    <dxf>
      <font>
        <color theme="0"/>
      </font>
    </dxf>
    <dxf>
      <fill>
        <patternFill patternType="solid">
          <bgColor rgb="FF0C4070"/>
        </patternFill>
      </fill>
    </dxf>
    <dxf>
      <font>
        <u val="none"/>
      </font>
    </dxf>
    <dxf>
      <alignment textRotation="45"/>
    </dxf>
    <dxf>
      <numFmt numFmtId="165" formatCode="&quot;$&quot;#,##0"/>
    </dxf>
    <dxf>
      <numFmt numFmtId="165" formatCode="&quot;$&quot;#,##0"/>
    </dxf>
    <dxf>
      <alignment textRotation="0"/>
    </dxf>
    <dxf>
      <font>
        <color theme="0"/>
      </font>
    </dxf>
    <dxf>
      <fill>
        <patternFill patternType="solid">
          <bgColor rgb="FF0C407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C4070"/>
        </patternFill>
      </fill>
    </dxf>
    <dxf>
      <fill>
        <patternFill patternType="solid">
          <bgColor rgb="FF0C4070"/>
        </patternFill>
      </fill>
    </dxf>
    <dxf>
      <font>
        <color theme="0"/>
      </font>
    </dxf>
    <dxf>
      <fill>
        <patternFill patternType="solid">
          <bgColor rgb="FF0C4070"/>
        </patternFill>
      </fill>
    </dxf>
    <dxf>
      <font>
        <i/>
      </font>
    </dxf>
    <dxf>
      <font>
        <u val="none"/>
      </font>
    </dxf>
    <dxf>
      <font>
        <b/>
      </font>
    </dxf>
    <dxf>
      <alignment textRotation="45"/>
    </dxf>
  </dxfs>
  <tableStyles count="0" defaultTableStyle="TableStyleMedium2" defaultPivotStyle="PivotStyleLight16"/>
  <colors>
    <mruColors>
      <color rgb="FF0E2841"/>
      <color rgb="FF0C4070"/>
      <color rgb="FFEE9E45"/>
      <color rgb="FF9F8B50"/>
      <color rgb="FF6B730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Gross Margin &amp; Operating Margin decreased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'Sales Trend Analysis'!$D$4</c:f>
              <c:strCache>
                <c:ptCount val="1"/>
                <c:pt idx="0">
                  <c:v>Discount Drag %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Analysis'!$D$5:$D$16</c:f>
              <c:numCache>
                <c:formatCode>0.00%</c:formatCode>
                <c:ptCount val="12"/>
                <c:pt idx="0">
                  <c:v>2.385496183206107E-2</c:v>
                </c:pt>
                <c:pt idx="1">
                  <c:v>3.1690140845070422E-2</c:v>
                </c:pt>
                <c:pt idx="2">
                  <c:v>3.4313725490196081E-2</c:v>
                </c:pt>
                <c:pt idx="3">
                  <c:v>2.4617996604414261E-2</c:v>
                </c:pt>
                <c:pt idx="4">
                  <c:v>4.1085271317829457E-2</c:v>
                </c:pt>
                <c:pt idx="5">
                  <c:v>2.3421588594704685E-2</c:v>
                </c:pt>
                <c:pt idx="6">
                  <c:v>3.5381750465549346E-2</c:v>
                </c:pt>
                <c:pt idx="7">
                  <c:v>3.2567049808429116E-2</c:v>
                </c:pt>
                <c:pt idx="8">
                  <c:v>2.9157667386609073E-2</c:v>
                </c:pt>
                <c:pt idx="9">
                  <c:v>2.9411764705882353E-2</c:v>
                </c:pt>
                <c:pt idx="10">
                  <c:v>3.292181069958848E-2</c:v>
                </c:pt>
                <c:pt idx="11">
                  <c:v>0.29580419580419581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7-4421-8AFA-9B70A0F3DCA6}"/>
            </c:ext>
          </c:extLst>
        </c:ser>
        <c:ser>
          <c:idx val="2"/>
          <c:order val="1"/>
          <c:tx>
            <c:strRef>
              <c:f>'Sales Trend Analysis'!$E$4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38100" cap="rnd">
              <a:solidFill>
                <a:srgbClr val="EE9E45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Analysis'!$E$5:$E$16</c:f>
              <c:numCache>
                <c:formatCode>0.00%</c:formatCode>
                <c:ptCount val="12"/>
                <c:pt idx="0">
                  <c:v>0.57296222664015906</c:v>
                </c:pt>
                <c:pt idx="1">
                  <c:v>0.56794063079777368</c:v>
                </c:pt>
                <c:pt idx="2">
                  <c:v>0.56625756266205707</c:v>
                </c:pt>
                <c:pt idx="3">
                  <c:v>0.57281089686891917</c:v>
                </c:pt>
                <c:pt idx="4">
                  <c:v>0.56253101736972699</c:v>
                </c:pt>
                <c:pt idx="5">
                  <c:v>0.57322450710197159</c:v>
                </c:pt>
                <c:pt idx="6">
                  <c:v>0.56702064896755167</c:v>
                </c:pt>
                <c:pt idx="7">
                  <c:v>0.5658823529411765</c:v>
                </c:pt>
                <c:pt idx="8">
                  <c:v>0.56610285714285713</c:v>
                </c:pt>
                <c:pt idx="9">
                  <c:v>0.56067878787878789</c:v>
                </c:pt>
                <c:pt idx="10">
                  <c:v>0.56785946649316854</c:v>
                </c:pt>
                <c:pt idx="11">
                  <c:v>0.40173469387755101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7-4421-8AFA-9B70A0F3DCA6}"/>
            </c:ext>
          </c:extLst>
        </c:ser>
        <c:ser>
          <c:idx val="3"/>
          <c:order val="2"/>
          <c:tx>
            <c:strRef>
              <c:f>'Sales Trend Analysis'!$F$4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Analysis'!$F$5:$F$16</c:f>
              <c:numCache>
                <c:formatCode>0.00%</c:formatCode>
                <c:ptCount val="12"/>
                <c:pt idx="0">
                  <c:v>0.17003578528827037</c:v>
                </c:pt>
                <c:pt idx="1">
                  <c:v>0.17850834879406305</c:v>
                </c:pt>
                <c:pt idx="2">
                  <c:v>0.18745721694036302</c:v>
                </c:pt>
                <c:pt idx="3">
                  <c:v>0.19514947815319297</c:v>
                </c:pt>
                <c:pt idx="4">
                  <c:v>0.1885690653432589</c:v>
                </c:pt>
                <c:pt idx="5">
                  <c:v>0.15824040703837186</c:v>
                </c:pt>
                <c:pt idx="6">
                  <c:v>0.1618367748279253</c:v>
                </c:pt>
                <c:pt idx="7">
                  <c:v>0.21236781609195401</c:v>
                </c:pt>
                <c:pt idx="8">
                  <c:v>0.23989942857142857</c:v>
                </c:pt>
                <c:pt idx="9">
                  <c:v>9.7949090909090944E-2</c:v>
                </c:pt>
                <c:pt idx="10">
                  <c:v>0.13821730644111907</c:v>
                </c:pt>
                <c:pt idx="11">
                  <c:v>-0.10953061224489796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7-4421-8AFA-9B70A0F3D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800207"/>
        <c:axId val="1351343343"/>
      </c:lineChart>
      <c:catAx>
        <c:axId val="12458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43343"/>
        <c:crosses val="autoZero"/>
        <c:auto val="1"/>
        <c:lblAlgn val="ctr"/>
        <c:lblOffset val="100"/>
        <c:noMultiLvlLbl val="0"/>
      </c:catAx>
      <c:valAx>
        <c:axId val="13513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Promotional Discounts decreased NOI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Gross Sales </c:v>
                </c:pt>
              </c:strCache>
            </c:strRef>
          </c:tx>
          <c:spPr>
            <a:solidFill>
              <a:srgbClr val="0C4070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Analysis!$C$4:$C$15</c:f>
              <c:numCache>
                <c:formatCode>"$"#,##0</c:formatCode>
                <c:ptCount val="12"/>
                <c:pt idx="0">
                  <c:v>52400</c:v>
                </c:pt>
                <c:pt idx="1">
                  <c:v>56800</c:v>
                </c:pt>
                <c:pt idx="2">
                  <c:v>61200</c:v>
                </c:pt>
                <c:pt idx="3">
                  <c:v>58900</c:v>
                </c:pt>
                <c:pt idx="4">
                  <c:v>64500</c:v>
                </c:pt>
                <c:pt idx="5">
                  <c:v>49100</c:v>
                </c:pt>
                <c:pt idx="6">
                  <c:v>53700</c:v>
                </c:pt>
                <c:pt idx="7">
                  <c:v>78300</c:v>
                </c:pt>
                <c:pt idx="8">
                  <c:v>92600</c:v>
                </c:pt>
                <c:pt idx="9">
                  <c:v>44200</c:v>
                </c:pt>
                <c:pt idx="10">
                  <c:v>48600</c:v>
                </c:pt>
                <c:pt idx="11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8-4E97-960F-688A87FA5622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EE9E45"/>
            </a:solidFill>
            <a:ln>
              <a:solidFill>
                <a:srgbClr val="EE9E45"/>
              </a:solidFill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Analysis!$D$4:$D$15</c:f>
              <c:numCache>
                <c:formatCode>"$"#,##0</c:formatCode>
                <c:ptCount val="12"/>
                <c:pt idx="0">
                  <c:v>21480</c:v>
                </c:pt>
                <c:pt idx="1">
                  <c:v>23288</c:v>
                </c:pt>
                <c:pt idx="2">
                  <c:v>25092</c:v>
                </c:pt>
                <c:pt idx="3">
                  <c:v>24149</c:v>
                </c:pt>
                <c:pt idx="4">
                  <c:v>26445</c:v>
                </c:pt>
                <c:pt idx="5">
                  <c:v>20131</c:v>
                </c:pt>
                <c:pt idx="6">
                  <c:v>22017</c:v>
                </c:pt>
                <c:pt idx="7">
                  <c:v>32103</c:v>
                </c:pt>
                <c:pt idx="8">
                  <c:v>37966</c:v>
                </c:pt>
                <c:pt idx="9">
                  <c:v>18122</c:v>
                </c:pt>
                <c:pt idx="10">
                  <c:v>19926</c:v>
                </c:pt>
                <c:pt idx="11">
                  <c:v>29315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8-4E97-960F-688A87FA5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27"/>
        <c:axId val="1317599775"/>
        <c:axId val="1351370703"/>
      </c:barChart>
      <c:lineChart>
        <c:grouping val="standard"/>
        <c:varyColors val="0"/>
        <c:ser>
          <c:idx val="2"/>
          <c:order val="2"/>
          <c:tx>
            <c:strRef>
              <c:f>Analysis!$F$3</c:f>
              <c:strCache>
                <c:ptCount val="1"/>
                <c:pt idx="0">
                  <c:v>Net Operating Income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Analysis!$F$4:$F$15</c:f>
              <c:numCache>
                <c:formatCode>"$"#,##0</c:formatCode>
                <c:ptCount val="12"/>
                <c:pt idx="0">
                  <c:v>8552.7999999999993</c:v>
                </c:pt>
                <c:pt idx="1">
                  <c:v>9621.5999999999985</c:v>
                </c:pt>
                <c:pt idx="2">
                  <c:v>10844.400000000001</c:v>
                </c:pt>
                <c:pt idx="3">
                  <c:v>11031.8</c:v>
                </c:pt>
                <c:pt idx="4">
                  <c:v>11399</c:v>
                </c:pt>
                <c:pt idx="5">
                  <c:v>7464.2000000000007</c:v>
                </c:pt>
                <c:pt idx="6">
                  <c:v>8229.4000000000015</c:v>
                </c:pt>
                <c:pt idx="7">
                  <c:v>15704.599999999999</c:v>
                </c:pt>
                <c:pt idx="8">
                  <c:v>20991.200000000001</c:v>
                </c:pt>
                <c:pt idx="9">
                  <c:v>4040.4000000000015</c:v>
                </c:pt>
                <c:pt idx="10">
                  <c:v>6373.2000000000007</c:v>
                </c:pt>
                <c:pt idx="11">
                  <c:v>-5367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8-4E97-960F-688A87FA5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99775"/>
        <c:axId val="1351370703"/>
      </c:lineChart>
      <c:catAx>
        <c:axId val="131759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70703"/>
        <c:crossesAt val="0"/>
        <c:auto val="1"/>
        <c:lblAlgn val="ctr"/>
        <c:lblOffset val="100"/>
        <c:noMultiLvlLbl val="0"/>
      </c:catAx>
      <c:valAx>
        <c:axId val="13513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[sales_discrepancy_dataset_P&amp;Lx2.xlsx]Monthly NOI!PivotTable2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Negative NOI due to March discounts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C407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NOI'!$B$1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407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C7-415F-8A92-B5DB456749F2}"/>
              </c:ext>
            </c:extLst>
          </c:dPt>
          <c:cat>
            <c:strRef>
              <c:f>'Monthly NOI'!$A$2:$A$14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NOI'!$B$2:$B$14</c:f>
              <c:numCache>
                <c:formatCode>"$"#,##0.00</c:formatCode>
                <c:ptCount val="12"/>
                <c:pt idx="0">
                  <c:v>4040.4000000000015</c:v>
                </c:pt>
                <c:pt idx="1">
                  <c:v>6373.2000000000007</c:v>
                </c:pt>
                <c:pt idx="2">
                  <c:v>-5367</c:v>
                </c:pt>
                <c:pt idx="3">
                  <c:v>8552.7999999999993</c:v>
                </c:pt>
                <c:pt idx="4">
                  <c:v>9621.5999999999985</c:v>
                </c:pt>
                <c:pt idx="5">
                  <c:v>10844.400000000001</c:v>
                </c:pt>
                <c:pt idx="6">
                  <c:v>11031.8</c:v>
                </c:pt>
                <c:pt idx="7">
                  <c:v>11399</c:v>
                </c:pt>
                <c:pt idx="8">
                  <c:v>7464.2000000000007</c:v>
                </c:pt>
                <c:pt idx="9">
                  <c:v>8229.4000000000015</c:v>
                </c:pt>
                <c:pt idx="10">
                  <c:v>15704.599999999999</c:v>
                </c:pt>
                <c:pt idx="11">
                  <c:v>20991.200000000001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7-415F-8A92-B5DB45674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215888"/>
        <c:axId val="1612527952"/>
      </c:barChart>
      <c:catAx>
        <c:axId val="146121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527952"/>
        <c:crosses val="autoZero"/>
        <c:auto val="1"/>
        <c:lblAlgn val="ctr"/>
        <c:lblOffset val="100"/>
        <c:noMultiLvlLbl val="0"/>
      </c:catAx>
      <c:valAx>
        <c:axId val="16125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1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[sales_discrepancy_dataset_P&amp;Lx2.xlsx]Gross to Net Ratio!PivotTable2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Gross to Net Ratio drops causing profit loss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C4070"/>
          </a:solidFill>
          <a:ln w="6350">
            <a:solidFill>
              <a:srgbClr val="0C407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C4070"/>
          </a:solidFill>
          <a:ln w="6350">
            <a:solidFill>
              <a:srgbClr val="0C4070"/>
            </a:solidFill>
          </a:ln>
          <a:effectLst/>
        </c:spPr>
      </c:pivotFmt>
      <c:pivotFmt>
        <c:idx val="7"/>
        <c:spPr>
          <a:solidFill>
            <a:srgbClr val="C00000"/>
          </a:solidFill>
          <a:ln w="6350">
            <a:solidFill>
              <a:srgbClr val="C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'Gross to Net Ratio'!$B$1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4070"/>
            </a:solidFill>
            <a:ln w="6350">
              <a:solidFill>
                <a:srgbClr val="0C4070"/>
              </a:solidFill>
            </a:ln>
            <a:effectLst/>
          </c:spPr>
          <c:invertIfNegative val="1"/>
          <c:dPt>
            <c:idx val="2"/>
            <c:invertIfNegative val="1"/>
            <c:bubble3D val="0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E0-4C62-B07F-69BA24F4EAB0}"/>
              </c:ext>
            </c:extLst>
          </c:dPt>
          <c:cat>
            <c:strRef>
              <c:f>'Gross to Net Ratio'!$A$2:$A$14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'Gross to Net Ratio'!$B$2:$B$14</c:f>
              <c:numCache>
                <c:formatCode>0.00%</c:formatCode>
                <c:ptCount val="12"/>
                <c:pt idx="0">
                  <c:v>0.93325791855203621</c:v>
                </c:pt>
                <c:pt idx="1">
                  <c:v>0.9487654320987654</c:v>
                </c:pt>
                <c:pt idx="2">
                  <c:v>0.68531468531468531</c:v>
                </c:pt>
                <c:pt idx="3">
                  <c:v>0.95992366412213737</c:v>
                </c:pt>
                <c:pt idx="4">
                  <c:v>0.948943661971831</c:v>
                </c:pt>
                <c:pt idx="5">
                  <c:v>0.9452614379084967</c:v>
                </c:pt>
                <c:pt idx="6">
                  <c:v>0.95976230899830217</c:v>
                </c:pt>
                <c:pt idx="7">
                  <c:v>0.93720930232558142</c:v>
                </c:pt>
                <c:pt idx="8">
                  <c:v>0.96069246435845213</c:v>
                </c:pt>
                <c:pt idx="9">
                  <c:v>0.94692737430167595</c:v>
                </c:pt>
                <c:pt idx="10">
                  <c:v>0.94444444444444442</c:v>
                </c:pt>
                <c:pt idx="11">
                  <c:v>0.94492440604751615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350">
                    <a:solidFill>
                      <a:srgbClr val="0C4070"/>
                    </a:solidFill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CE0-4C62-B07F-69BA24F4E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435071"/>
        <c:axId val="1825481359"/>
      </c:barChart>
      <c:catAx>
        <c:axId val="202843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81359"/>
        <c:crosses val="autoZero"/>
        <c:auto val="1"/>
        <c:lblAlgn val="ctr"/>
        <c:lblOffset val="100"/>
        <c:noMultiLvlLbl val="0"/>
      </c:catAx>
      <c:valAx>
        <c:axId val="182548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35071"/>
        <c:crosses val="autoZero"/>
        <c:crossBetween val="between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[sales_discrepancy_dataset_P&amp;Lx2.xlsx]Discounts!PivotTable2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March $20k discounts caused 10 months of damage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C0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C0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ln w="34925" cap="rnd">
            <a:solidFill>
              <a:srgbClr val="0C407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C4070"/>
            </a:solidFill>
            <a:ln w="9525">
              <a:solidFill>
                <a:srgbClr val="0C407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rgbClr val="0E284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C00000"/>
            </a:solidFill>
            <a:ln w="9525">
              <a:solidFill>
                <a:srgbClr val="0E284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Discounts!$B$1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0C407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C4070"/>
              </a:solidFill>
              <a:ln w="9525">
                <a:solidFill>
                  <a:srgbClr val="0C407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2"/>
            <c:marker>
              <c:symbol val="circle"/>
              <c:size val="6"/>
              <c:spPr>
                <a:solidFill>
                  <a:srgbClr val="C00000"/>
                </a:solidFill>
                <a:ln w="9525">
                  <a:solidFill>
                    <a:srgbClr val="0E284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0E284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50C-42E8-B00D-9B218AECAA57}"/>
              </c:ext>
            </c:extLst>
          </c:dPt>
          <c:cat>
            <c:strRef>
              <c:f>Discounts!$A$2:$A$14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Discounts!$B$2:$B$14</c:f>
              <c:numCache>
                <c:formatCode>"$"#,##0</c:formatCode>
                <c:ptCount val="12"/>
                <c:pt idx="0">
                  <c:v>1300</c:v>
                </c:pt>
                <c:pt idx="1">
                  <c:v>1600</c:v>
                </c:pt>
                <c:pt idx="2">
                  <c:v>21150</c:v>
                </c:pt>
                <c:pt idx="3">
                  <c:v>1250</c:v>
                </c:pt>
                <c:pt idx="4">
                  <c:v>1800</c:v>
                </c:pt>
                <c:pt idx="5">
                  <c:v>2100</c:v>
                </c:pt>
                <c:pt idx="6">
                  <c:v>1450</c:v>
                </c:pt>
                <c:pt idx="7">
                  <c:v>2650</c:v>
                </c:pt>
                <c:pt idx="8">
                  <c:v>1150</c:v>
                </c:pt>
                <c:pt idx="9">
                  <c:v>1900</c:v>
                </c:pt>
                <c:pt idx="10">
                  <c:v>2550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C-42E8-B00D-9B218AECA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435071"/>
        <c:axId val="1825481359"/>
      </c:lineChart>
      <c:catAx>
        <c:axId val="20284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81359"/>
        <c:crosses val="autoZero"/>
        <c:auto val="1"/>
        <c:lblAlgn val="ctr"/>
        <c:lblOffset val="100"/>
        <c:noMultiLvlLbl val="0"/>
      </c:catAx>
      <c:valAx>
        <c:axId val="18254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3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[sales_discrepancy_dataset_P&amp;Lx2.xlsx]Discount Drag!PivotTable2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Discounts caused 10 months of damage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'Discount Drag'!$B$1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'Discount Drag'!$A$2:$A$14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'Discount Drag'!$B$2:$B$14</c:f>
              <c:numCache>
                <c:formatCode>0.0%</c:formatCode>
                <c:ptCount val="12"/>
                <c:pt idx="0">
                  <c:v>2.9411764705882353E-2</c:v>
                </c:pt>
                <c:pt idx="1">
                  <c:v>3.292181069958848E-2</c:v>
                </c:pt>
                <c:pt idx="2">
                  <c:v>0.29580419580419581</c:v>
                </c:pt>
                <c:pt idx="3">
                  <c:v>2.385496183206107E-2</c:v>
                </c:pt>
                <c:pt idx="4">
                  <c:v>3.1690140845070422E-2</c:v>
                </c:pt>
                <c:pt idx="5">
                  <c:v>3.4313725490196081E-2</c:v>
                </c:pt>
                <c:pt idx="6">
                  <c:v>2.4617996604414261E-2</c:v>
                </c:pt>
                <c:pt idx="7">
                  <c:v>4.1085271317829457E-2</c:v>
                </c:pt>
                <c:pt idx="8">
                  <c:v>2.3421588594704685E-2</c:v>
                </c:pt>
                <c:pt idx="9">
                  <c:v>3.5381750465549346E-2</c:v>
                </c:pt>
                <c:pt idx="10">
                  <c:v>3.2567049808429116E-2</c:v>
                </c:pt>
                <c:pt idx="11">
                  <c:v>2.9157667386609073E-2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6A-47FC-A27D-C53876637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435071"/>
        <c:axId val="1825481359"/>
      </c:lineChart>
      <c:catAx>
        <c:axId val="20284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81359"/>
        <c:crosses val="autoZero"/>
        <c:auto val="1"/>
        <c:lblAlgn val="ctr"/>
        <c:lblOffset val="100"/>
        <c:noMultiLvlLbl val="0"/>
      </c:catAx>
      <c:valAx>
        <c:axId val="18254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3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[sales_discrepancy_dataset_P&amp;Lx2.xlsx]Discounts!PivotTable2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March $20k discounts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rgbClr val="0C407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C4070"/>
            </a:solidFill>
            <a:ln w="9525">
              <a:solidFill>
                <a:srgbClr val="0C407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rgbClr val="0C407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C00000"/>
            </a:solidFill>
            <a:ln w="9525">
              <a:solidFill>
                <a:srgbClr val="0C407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Discounts!$B$1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0C407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C4070"/>
              </a:solidFill>
              <a:ln w="9525">
                <a:solidFill>
                  <a:srgbClr val="0C407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2"/>
            <c:marker>
              <c:symbol val="circle"/>
              <c:size val="6"/>
              <c:spPr>
                <a:solidFill>
                  <a:srgbClr val="C00000"/>
                </a:solidFill>
                <a:ln w="9525">
                  <a:solidFill>
                    <a:srgbClr val="0C407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0C407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5E-4FB8-9B10-8E3A5E60E0D4}"/>
              </c:ext>
            </c:extLst>
          </c:dPt>
          <c:cat>
            <c:strRef>
              <c:f>Discounts!$A$2:$A$14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Discounts!$B$2:$B$14</c:f>
              <c:numCache>
                <c:formatCode>"$"#,##0</c:formatCode>
                <c:ptCount val="12"/>
                <c:pt idx="0">
                  <c:v>1300</c:v>
                </c:pt>
                <c:pt idx="1">
                  <c:v>1600</c:v>
                </c:pt>
                <c:pt idx="2">
                  <c:v>21150</c:v>
                </c:pt>
                <c:pt idx="3">
                  <c:v>1250</c:v>
                </c:pt>
                <c:pt idx="4">
                  <c:v>1800</c:v>
                </c:pt>
                <c:pt idx="5">
                  <c:v>2100</c:v>
                </c:pt>
                <c:pt idx="6">
                  <c:v>1450</c:v>
                </c:pt>
                <c:pt idx="7">
                  <c:v>2650</c:v>
                </c:pt>
                <c:pt idx="8">
                  <c:v>1150</c:v>
                </c:pt>
                <c:pt idx="9">
                  <c:v>1900</c:v>
                </c:pt>
                <c:pt idx="10">
                  <c:v>2550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E-4FB8-9B10-8E3A5E60E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435071"/>
        <c:axId val="1825481359"/>
      </c:lineChart>
      <c:catAx>
        <c:axId val="20284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81359"/>
        <c:crosses val="autoZero"/>
        <c:auto val="1"/>
        <c:lblAlgn val="ctr"/>
        <c:lblOffset val="100"/>
        <c:noMultiLvlLbl val="0"/>
      </c:catAx>
      <c:valAx>
        <c:axId val="18254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3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[sales_discrepancy_dataset_P&amp;Lx2.xlsx]Monthly NOI!PivotTable2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Negative NOI due to March discounts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C407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NOI'!$B$1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407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E-45DE-A464-AFD51FBE39F4}"/>
              </c:ext>
            </c:extLst>
          </c:dPt>
          <c:cat>
            <c:strRef>
              <c:f>'Monthly NOI'!$A$2:$A$14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NOI'!$B$2:$B$14</c:f>
              <c:numCache>
                <c:formatCode>"$"#,##0.00</c:formatCode>
                <c:ptCount val="12"/>
                <c:pt idx="0">
                  <c:v>4040.4000000000015</c:v>
                </c:pt>
                <c:pt idx="1">
                  <c:v>6373.2000000000007</c:v>
                </c:pt>
                <c:pt idx="2">
                  <c:v>-5367</c:v>
                </c:pt>
                <c:pt idx="3">
                  <c:v>8552.7999999999993</c:v>
                </c:pt>
                <c:pt idx="4">
                  <c:v>9621.5999999999985</c:v>
                </c:pt>
                <c:pt idx="5">
                  <c:v>10844.400000000001</c:v>
                </c:pt>
                <c:pt idx="6">
                  <c:v>11031.8</c:v>
                </c:pt>
                <c:pt idx="7">
                  <c:v>11399</c:v>
                </c:pt>
                <c:pt idx="8">
                  <c:v>7464.2000000000007</c:v>
                </c:pt>
                <c:pt idx="9">
                  <c:v>8229.4000000000015</c:v>
                </c:pt>
                <c:pt idx="10">
                  <c:v>15704.599999999999</c:v>
                </c:pt>
                <c:pt idx="11">
                  <c:v>20991.200000000001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D-4264-A806-C29FAAE2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215888"/>
        <c:axId val="1612527952"/>
      </c:barChart>
      <c:catAx>
        <c:axId val="146121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527952"/>
        <c:crosses val="autoZero"/>
        <c:auto val="1"/>
        <c:lblAlgn val="ctr"/>
        <c:lblOffset val="100"/>
        <c:noMultiLvlLbl val="0"/>
      </c:catAx>
      <c:valAx>
        <c:axId val="16125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1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[sales_discrepancy_dataset_P&amp;Lx2.xlsx]Gross to Net Ratio!PivotTable2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Gross to Net Ratio drops causing profit loss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C4070"/>
          </a:solidFill>
          <a:ln>
            <a:solidFill>
              <a:srgbClr val="0C407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'Gross to Net Ratio'!$B$1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4070"/>
            </a:solidFill>
            <a:ln>
              <a:solidFill>
                <a:srgbClr val="0C4070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24-48BA-AF18-986DEEF8EA09}"/>
              </c:ext>
            </c:extLst>
          </c:dPt>
          <c:cat>
            <c:strRef>
              <c:f>'Gross to Net Ratio'!$A$2:$A$14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'Gross to Net Ratio'!$B$2:$B$14</c:f>
              <c:numCache>
                <c:formatCode>0.00%</c:formatCode>
                <c:ptCount val="12"/>
                <c:pt idx="0">
                  <c:v>0.93325791855203621</c:v>
                </c:pt>
                <c:pt idx="1">
                  <c:v>0.9487654320987654</c:v>
                </c:pt>
                <c:pt idx="2">
                  <c:v>0.68531468531468531</c:v>
                </c:pt>
                <c:pt idx="3">
                  <c:v>0.95992366412213737</c:v>
                </c:pt>
                <c:pt idx="4">
                  <c:v>0.948943661971831</c:v>
                </c:pt>
                <c:pt idx="5">
                  <c:v>0.9452614379084967</c:v>
                </c:pt>
                <c:pt idx="6">
                  <c:v>0.95976230899830217</c:v>
                </c:pt>
                <c:pt idx="7">
                  <c:v>0.93720930232558142</c:v>
                </c:pt>
                <c:pt idx="8">
                  <c:v>0.96069246435845213</c:v>
                </c:pt>
                <c:pt idx="9">
                  <c:v>0.94692737430167595</c:v>
                </c:pt>
                <c:pt idx="10">
                  <c:v>0.94444444444444442</c:v>
                </c:pt>
                <c:pt idx="11">
                  <c:v>0.94492440604751615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4-48BA-AF18-986DEEF8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435071"/>
        <c:axId val="1825481359"/>
      </c:barChart>
      <c:catAx>
        <c:axId val="202843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81359"/>
        <c:crosses val="autoZero"/>
        <c:auto val="1"/>
        <c:lblAlgn val="ctr"/>
        <c:lblOffset val="100"/>
        <c:noMultiLvlLbl val="0"/>
      </c:catAx>
      <c:valAx>
        <c:axId val="182548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3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Promotional Discounts decreased NOI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Gross Sales </c:v>
                </c:pt>
              </c:strCache>
            </c:strRef>
          </c:tx>
          <c:spPr>
            <a:solidFill>
              <a:srgbClr val="0C4070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Analysis!$C$4:$C$15</c:f>
              <c:numCache>
                <c:formatCode>"$"#,##0</c:formatCode>
                <c:ptCount val="12"/>
                <c:pt idx="0">
                  <c:v>52400</c:v>
                </c:pt>
                <c:pt idx="1">
                  <c:v>56800</c:v>
                </c:pt>
                <c:pt idx="2">
                  <c:v>61200</c:v>
                </c:pt>
                <c:pt idx="3">
                  <c:v>58900</c:v>
                </c:pt>
                <c:pt idx="4">
                  <c:v>64500</c:v>
                </c:pt>
                <c:pt idx="5">
                  <c:v>49100</c:v>
                </c:pt>
                <c:pt idx="6">
                  <c:v>53700</c:v>
                </c:pt>
                <c:pt idx="7">
                  <c:v>78300</c:v>
                </c:pt>
                <c:pt idx="8">
                  <c:v>92600</c:v>
                </c:pt>
                <c:pt idx="9">
                  <c:v>44200</c:v>
                </c:pt>
                <c:pt idx="10">
                  <c:v>48600</c:v>
                </c:pt>
                <c:pt idx="11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B-4394-904A-79D3ABAF66CC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Analysis!$D$4:$D$15</c:f>
              <c:numCache>
                <c:formatCode>"$"#,##0</c:formatCode>
                <c:ptCount val="12"/>
                <c:pt idx="0">
                  <c:v>21480</c:v>
                </c:pt>
                <c:pt idx="1">
                  <c:v>23288</c:v>
                </c:pt>
                <c:pt idx="2">
                  <c:v>25092</c:v>
                </c:pt>
                <c:pt idx="3">
                  <c:v>24149</c:v>
                </c:pt>
                <c:pt idx="4">
                  <c:v>26445</c:v>
                </c:pt>
                <c:pt idx="5">
                  <c:v>20131</c:v>
                </c:pt>
                <c:pt idx="6">
                  <c:v>22017</c:v>
                </c:pt>
                <c:pt idx="7">
                  <c:v>32103</c:v>
                </c:pt>
                <c:pt idx="8">
                  <c:v>37966</c:v>
                </c:pt>
                <c:pt idx="9">
                  <c:v>18122</c:v>
                </c:pt>
                <c:pt idx="10">
                  <c:v>19926</c:v>
                </c:pt>
                <c:pt idx="11">
                  <c:v>29315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B-4394-904A-79D3ABAF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599775"/>
        <c:axId val="1351370703"/>
      </c:barChart>
      <c:lineChart>
        <c:grouping val="standard"/>
        <c:varyColors val="0"/>
        <c:ser>
          <c:idx val="2"/>
          <c:order val="2"/>
          <c:tx>
            <c:strRef>
              <c:f>Analysis!$F$3</c:f>
              <c:strCache>
                <c:ptCount val="1"/>
                <c:pt idx="0">
                  <c:v>Net Operating Income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Analysis!$F$4:$F$15</c:f>
              <c:numCache>
                <c:formatCode>"$"#,##0</c:formatCode>
                <c:ptCount val="12"/>
                <c:pt idx="0">
                  <c:v>8552.7999999999993</c:v>
                </c:pt>
                <c:pt idx="1">
                  <c:v>9621.5999999999985</c:v>
                </c:pt>
                <c:pt idx="2">
                  <c:v>10844.400000000001</c:v>
                </c:pt>
                <c:pt idx="3">
                  <c:v>11031.8</c:v>
                </c:pt>
                <c:pt idx="4">
                  <c:v>11399</c:v>
                </c:pt>
                <c:pt idx="5">
                  <c:v>7464.2000000000007</c:v>
                </c:pt>
                <c:pt idx="6">
                  <c:v>8229.4000000000015</c:v>
                </c:pt>
                <c:pt idx="7">
                  <c:v>15704.599999999999</c:v>
                </c:pt>
                <c:pt idx="8">
                  <c:v>20991.200000000001</c:v>
                </c:pt>
                <c:pt idx="9">
                  <c:v>4040.4000000000015</c:v>
                </c:pt>
                <c:pt idx="10">
                  <c:v>6373.2000000000007</c:v>
                </c:pt>
                <c:pt idx="11">
                  <c:v>-5367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B-4394-904A-79D3ABAF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99775"/>
        <c:axId val="1351370703"/>
      </c:lineChart>
      <c:catAx>
        <c:axId val="131759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70703"/>
        <c:crossesAt val="0"/>
        <c:auto val="1"/>
        <c:lblAlgn val="ctr"/>
        <c:lblOffset val="100"/>
        <c:noMultiLvlLbl val="0"/>
      </c:catAx>
      <c:valAx>
        <c:axId val="13513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Gross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Analysis!$C$4:$C$15</c:f>
              <c:numCache>
                <c:formatCode>"$"#,##0</c:formatCode>
                <c:ptCount val="12"/>
                <c:pt idx="0">
                  <c:v>52400</c:v>
                </c:pt>
                <c:pt idx="1">
                  <c:v>56800</c:v>
                </c:pt>
                <c:pt idx="2">
                  <c:v>61200</c:v>
                </c:pt>
                <c:pt idx="3">
                  <c:v>58900</c:v>
                </c:pt>
                <c:pt idx="4">
                  <c:v>64500</c:v>
                </c:pt>
                <c:pt idx="5">
                  <c:v>49100</c:v>
                </c:pt>
                <c:pt idx="6">
                  <c:v>53700</c:v>
                </c:pt>
                <c:pt idx="7">
                  <c:v>78300</c:v>
                </c:pt>
                <c:pt idx="8">
                  <c:v>92600</c:v>
                </c:pt>
                <c:pt idx="9">
                  <c:v>44200</c:v>
                </c:pt>
                <c:pt idx="10">
                  <c:v>48600</c:v>
                </c:pt>
                <c:pt idx="11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0-4234-ADEC-4CD35AAA4D5E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Analysis!$D$4:$D$15</c:f>
              <c:numCache>
                <c:formatCode>"$"#,##0</c:formatCode>
                <c:ptCount val="12"/>
                <c:pt idx="0">
                  <c:v>21480</c:v>
                </c:pt>
                <c:pt idx="1">
                  <c:v>23288</c:v>
                </c:pt>
                <c:pt idx="2">
                  <c:v>25092</c:v>
                </c:pt>
                <c:pt idx="3">
                  <c:v>24149</c:v>
                </c:pt>
                <c:pt idx="4">
                  <c:v>26445</c:v>
                </c:pt>
                <c:pt idx="5">
                  <c:v>20131</c:v>
                </c:pt>
                <c:pt idx="6">
                  <c:v>22017</c:v>
                </c:pt>
                <c:pt idx="7">
                  <c:v>32103</c:v>
                </c:pt>
                <c:pt idx="8">
                  <c:v>37966</c:v>
                </c:pt>
                <c:pt idx="9">
                  <c:v>18122</c:v>
                </c:pt>
                <c:pt idx="10">
                  <c:v>19926</c:v>
                </c:pt>
                <c:pt idx="11">
                  <c:v>29315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0-4234-ADEC-4CD35AAA4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963199"/>
        <c:axId val="1059511055"/>
      </c:barChart>
      <c:catAx>
        <c:axId val="110096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11055"/>
        <c:crosses val="autoZero"/>
        <c:auto val="1"/>
        <c:lblAlgn val="ctr"/>
        <c:lblOffset val="100"/>
        <c:noMultiLvlLbl val="0"/>
      </c:catAx>
      <c:valAx>
        <c:axId val="10595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96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Gross Margin &amp; Operating Margin decreased</a:t>
            </a:r>
          </a:p>
        </c:rich>
      </c:tx>
      <c:layout>
        <c:manualLayout>
          <c:xMode val="edge"/>
          <c:yMode val="edge"/>
          <c:x val="0.18766301512780387"/>
          <c:y val="2.2614201718679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'Sales Trend Analysis'!$D$4</c:f>
              <c:strCache>
                <c:ptCount val="1"/>
                <c:pt idx="0">
                  <c:v>Discount Drag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Analysis'!$D$5:$D$16</c:f>
              <c:numCache>
                <c:formatCode>0.00%</c:formatCode>
                <c:ptCount val="12"/>
                <c:pt idx="0">
                  <c:v>2.385496183206107E-2</c:v>
                </c:pt>
                <c:pt idx="1">
                  <c:v>3.1690140845070422E-2</c:v>
                </c:pt>
                <c:pt idx="2">
                  <c:v>3.4313725490196081E-2</c:v>
                </c:pt>
                <c:pt idx="3">
                  <c:v>2.4617996604414261E-2</c:v>
                </c:pt>
                <c:pt idx="4">
                  <c:v>4.1085271317829457E-2</c:v>
                </c:pt>
                <c:pt idx="5">
                  <c:v>2.3421588594704685E-2</c:v>
                </c:pt>
                <c:pt idx="6">
                  <c:v>3.5381750465549346E-2</c:v>
                </c:pt>
                <c:pt idx="7">
                  <c:v>3.2567049808429116E-2</c:v>
                </c:pt>
                <c:pt idx="8">
                  <c:v>2.9157667386609073E-2</c:v>
                </c:pt>
                <c:pt idx="9">
                  <c:v>2.9411764705882353E-2</c:v>
                </c:pt>
                <c:pt idx="10">
                  <c:v>3.292181069958848E-2</c:v>
                </c:pt>
                <c:pt idx="11">
                  <c:v>0.29580419580419581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E-4A27-99B8-B179846D90BA}"/>
            </c:ext>
          </c:extLst>
        </c:ser>
        <c:ser>
          <c:idx val="2"/>
          <c:order val="1"/>
          <c:tx>
            <c:strRef>
              <c:f>'Sales Trend Analysis'!$E$4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rgbClr val="EE9E45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Analysis'!$E$5:$E$16</c:f>
              <c:numCache>
                <c:formatCode>0.00%</c:formatCode>
                <c:ptCount val="12"/>
                <c:pt idx="0">
                  <c:v>0.57296222664015906</c:v>
                </c:pt>
                <c:pt idx="1">
                  <c:v>0.56794063079777368</c:v>
                </c:pt>
                <c:pt idx="2">
                  <c:v>0.56625756266205707</c:v>
                </c:pt>
                <c:pt idx="3">
                  <c:v>0.57281089686891917</c:v>
                </c:pt>
                <c:pt idx="4">
                  <c:v>0.56253101736972699</c:v>
                </c:pt>
                <c:pt idx="5">
                  <c:v>0.57322450710197159</c:v>
                </c:pt>
                <c:pt idx="6">
                  <c:v>0.56702064896755167</c:v>
                </c:pt>
                <c:pt idx="7">
                  <c:v>0.5658823529411765</c:v>
                </c:pt>
                <c:pt idx="8">
                  <c:v>0.56610285714285713</c:v>
                </c:pt>
                <c:pt idx="9">
                  <c:v>0.56067878787878789</c:v>
                </c:pt>
                <c:pt idx="10">
                  <c:v>0.56785946649316854</c:v>
                </c:pt>
                <c:pt idx="11">
                  <c:v>0.40173469387755101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E-4A27-99B8-B179846D90BA}"/>
            </c:ext>
          </c:extLst>
        </c:ser>
        <c:ser>
          <c:idx val="3"/>
          <c:order val="2"/>
          <c:tx>
            <c:strRef>
              <c:f>'Sales Trend Analysis'!$F$4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Analysis'!$F$5:$F$16</c:f>
              <c:numCache>
                <c:formatCode>0.00%</c:formatCode>
                <c:ptCount val="12"/>
                <c:pt idx="0">
                  <c:v>0.17003578528827037</c:v>
                </c:pt>
                <c:pt idx="1">
                  <c:v>0.17850834879406305</c:v>
                </c:pt>
                <c:pt idx="2">
                  <c:v>0.18745721694036302</c:v>
                </c:pt>
                <c:pt idx="3">
                  <c:v>0.19514947815319297</c:v>
                </c:pt>
                <c:pt idx="4">
                  <c:v>0.1885690653432589</c:v>
                </c:pt>
                <c:pt idx="5">
                  <c:v>0.15824040703837186</c:v>
                </c:pt>
                <c:pt idx="6">
                  <c:v>0.1618367748279253</c:v>
                </c:pt>
                <c:pt idx="7">
                  <c:v>0.21236781609195401</c:v>
                </c:pt>
                <c:pt idx="8">
                  <c:v>0.23989942857142857</c:v>
                </c:pt>
                <c:pt idx="9">
                  <c:v>9.7949090909090944E-2</c:v>
                </c:pt>
                <c:pt idx="10">
                  <c:v>0.13821730644111907</c:v>
                </c:pt>
                <c:pt idx="11">
                  <c:v>-0.10953061224489796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E-4A27-99B8-B179846D9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800207"/>
        <c:axId val="1351343343"/>
      </c:lineChart>
      <c:catAx>
        <c:axId val="12458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43343"/>
        <c:crosses val="autoZero"/>
        <c:auto val="1"/>
        <c:lblAlgn val="ctr"/>
        <c:lblOffset val="100"/>
        <c:noMultiLvlLbl val="0"/>
      </c:catAx>
      <c:valAx>
        <c:axId val="13513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Gross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Analysis!$C$4:$C$15</c:f>
              <c:numCache>
                <c:formatCode>"$"#,##0</c:formatCode>
                <c:ptCount val="12"/>
                <c:pt idx="0">
                  <c:v>52400</c:v>
                </c:pt>
                <c:pt idx="1">
                  <c:v>56800</c:v>
                </c:pt>
                <c:pt idx="2">
                  <c:v>61200</c:v>
                </c:pt>
                <c:pt idx="3">
                  <c:v>58900</c:v>
                </c:pt>
                <c:pt idx="4">
                  <c:v>64500</c:v>
                </c:pt>
                <c:pt idx="5">
                  <c:v>49100</c:v>
                </c:pt>
                <c:pt idx="6">
                  <c:v>53700</c:v>
                </c:pt>
                <c:pt idx="7">
                  <c:v>78300</c:v>
                </c:pt>
                <c:pt idx="8">
                  <c:v>92600</c:v>
                </c:pt>
                <c:pt idx="9">
                  <c:v>44200</c:v>
                </c:pt>
                <c:pt idx="10">
                  <c:v>48600</c:v>
                </c:pt>
                <c:pt idx="11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C-44BE-BB51-D7ED90997807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Analysis!$D$4:$D$15</c:f>
              <c:numCache>
                <c:formatCode>"$"#,##0</c:formatCode>
                <c:ptCount val="12"/>
                <c:pt idx="0">
                  <c:v>21480</c:v>
                </c:pt>
                <c:pt idx="1">
                  <c:v>23288</c:v>
                </c:pt>
                <c:pt idx="2">
                  <c:v>25092</c:v>
                </c:pt>
                <c:pt idx="3">
                  <c:v>24149</c:v>
                </c:pt>
                <c:pt idx="4">
                  <c:v>26445</c:v>
                </c:pt>
                <c:pt idx="5">
                  <c:v>20131</c:v>
                </c:pt>
                <c:pt idx="6">
                  <c:v>22017</c:v>
                </c:pt>
                <c:pt idx="7">
                  <c:v>32103</c:v>
                </c:pt>
                <c:pt idx="8">
                  <c:v>37966</c:v>
                </c:pt>
                <c:pt idx="9">
                  <c:v>18122</c:v>
                </c:pt>
                <c:pt idx="10">
                  <c:v>19926</c:v>
                </c:pt>
                <c:pt idx="11">
                  <c:v>29315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C-44BE-BB51-D7ED90997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963199"/>
        <c:axId val="1059511055"/>
      </c:barChart>
      <c:catAx>
        <c:axId val="110096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11055"/>
        <c:crosses val="autoZero"/>
        <c:auto val="1"/>
        <c:lblAlgn val="ctr"/>
        <c:lblOffset val="100"/>
        <c:noMultiLvlLbl val="0"/>
      </c:catAx>
      <c:valAx>
        <c:axId val="10595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96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Month Income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Gross Sales </c:v>
                </c:pt>
              </c:strCache>
            </c:strRef>
          </c:tx>
          <c:spPr>
            <a:solidFill>
              <a:srgbClr val="0C4070"/>
            </a:solidFill>
            <a:ln>
              <a:noFill/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Analysis!$C$4:$C$15</c:f>
              <c:numCache>
                <c:formatCode>"$"#,##0</c:formatCode>
                <c:ptCount val="12"/>
                <c:pt idx="0">
                  <c:v>52400</c:v>
                </c:pt>
                <c:pt idx="1">
                  <c:v>56800</c:v>
                </c:pt>
                <c:pt idx="2">
                  <c:v>61200</c:v>
                </c:pt>
                <c:pt idx="3">
                  <c:v>58900</c:v>
                </c:pt>
                <c:pt idx="4">
                  <c:v>64500</c:v>
                </c:pt>
                <c:pt idx="5">
                  <c:v>49100</c:v>
                </c:pt>
                <c:pt idx="6">
                  <c:v>53700</c:v>
                </c:pt>
                <c:pt idx="7">
                  <c:v>78300</c:v>
                </c:pt>
                <c:pt idx="8">
                  <c:v>92600</c:v>
                </c:pt>
                <c:pt idx="9">
                  <c:v>44200</c:v>
                </c:pt>
                <c:pt idx="10">
                  <c:v>48600</c:v>
                </c:pt>
                <c:pt idx="11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F-464A-9733-AB828C5961BB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rgbClr val="EE9E45"/>
              </a:solidFill>
            </a:ln>
            <a:effectLst/>
          </c:spPr>
          <c:invertIfNegative val="0"/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Analysis!$D$4:$D$15</c:f>
              <c:numCache>
                <c:formatCode>"$"#,##0</c:formatCode>
                <c:ptCount val="12"/>
                <c:pt idx="0">
                  <c:v>21480</c:v>
                </c:pt>
                <c:pt idx="1">
                  <c:v>23288</c:v>
                </c:pt>
                <c:pt idx="2">
                  <c:v>25092</c:v>
                </c:pt>
                <c:pt idx="3">
                  <c:v>24149</c:v>
                </c:pt>
                <c:pt idx="4">
                  <c:v>26445</c:v>
                </c:pt>
                <c:pt idx="5">
                  <c:v>20131</c:v>
                </c:pt>
                <c:pt idx="6">
                  <c:v>22017</c:v>
                </c:pt>
                <c:pt idx="7">
                  <c:v>32103</c:v>
                </c:pt>
                <c:pt idx="8">
                  <c:v>37966</c:v>
                </c:pt>
                <c:pt idx="9">
                  <c:v>18122</c:v>
                </c:pt>
                <c:pt idx="10">
                  <c:v>19926</c:v>
                </c:pt>
                <c:pt idx="11">
                  <c:v>29315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F-464A-9733-AB828C596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27"/>
        <c:axId val="1317599775"/>
        <c:axId val="1351370703"/>
      </c:barChart>
      <c:lineChart>
        <c:grouping val="standard"/>
        <c:varyColors val="0"/>
        <c:ser>
          <c:idx val="2"/>
          <c:order val="2"/>
          <c:tx>
            <c:strRef>
              <c:f>Analysis!$F$3</c:f>
              <c:strCache>
                <c:ptCount val="1"/>
                <c:pt idx="0">
                  <c:v>Net Operating Income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Analysis!$B$4:$B$15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Analysis!$F$4:$F$15</c:f>
              <c:numCache>
                <c:formatCode>"$"#,##0</c:formatCode>
                <c:ptCount val="12"/>
                <c:pt idx="0">
                  <c:v>8552.7999999999993</c:v>
                </c:pt>
                <c:pt idx="1">
                  <c:v>9621.5999999999985</c:v>
                </c:pt>
                <c:pt idx="2">
                  <c:v>10844.400000000001</c:v>
                </c:pt>
                <c:pt idx="3">
                  <c:v>11031.8</c:v>
                </c:pt>
                <c:pt idx="4">
                  <c:v>11399</c:v>
                </c:pt>
                <c:pt idx="5">
                  <c:v>7464.2000000000007</c:v>
                </c:pt>
                <c:pt idx="6">
                  <c:v>8229.4000000000015</c:v>
                </c:pt>
                <c:pt idx="7">
                  <c:v>15704.599999999999</c:v>
                </c:pt>
                <c:pt idx="8">
                  <c:v>20991.200000000001</c:v>
                </c:pt>
                <c:pt idx="9">
                  <c:v>4040.4000000000015</c:v>
                </c:pt>
                <c:pt idx="10">
                  <c:v>6373.2000000000007</c:v>
                </c:pt>
                <c:pt idx="11">
                  <c:v>-5367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F-464A-9733-AB828C596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99775"/>
        <c:axId val="1351370703"/>
      </c:lineChart>
      <c:catAx>
        <c:axId val="131759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70703"/>
        <c:crossesAt val="0"/>
        <c:auto val="1"/>
        <c:lblAlgn val="ctr"/>
        <c:lblOffset val="100"/>
        <c:noMultiLvlLbl val="0"/>
      </c:catAx>
      <c:valAx>
        <c:axId val="13513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Month</a:t>
            </a:r>
            <a:r>
              <a:rPr lang="en-US" baseline="0"/>
              <a:t> </a:t>
            </a:r>
            <a:r>
              <a:rPr lang="en-US"/>
              <a:t>Sales</a:t>
            </a:r>
            <a:r>
              <a:rPr lang="en-US" baseline="0"/>
              <a:t>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'Sales Trend Analysis'!$D$4</c:f>
              <c:strCache>
                <c:ptCount val="1"/>
                <c:pt idx="0">
                  <c:v>Discount Drag %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Analysis'!$D$5:$D$16</c:f>
              <c:numCache>
                <c:formatCode>0.00%</c:formatCode>
                <c:ptCount val="12"/>
                <c:pt idx="0">
                  <c:v>2.385496183206107E-2</c:v>
                </c:pt>
                <c:pt idx="1">
                  <c:v>3.1690140845070422E-2</c:v>
                </c:pt>
                <c:pt idx="2">
                  <c:v>3.4313725490196081E-2</c:v>
                </c:pt>
                <c:pt idx="3">
                  <c:v>2.4617996604414261E-2</c:v>
                </c:pt>
                <c:pt idx="4">
                  <c:v>4.1085271317829457E-2</c:v>
                </c:pt>
                <c:pt idx="5">
                  <c:v>2.3421588594704685E-2</c:v>
                </c:pt>
                <c:pt idx="6">
                  <c:v>3.5381750465549346E-2</c:v>
                </c:pt>
                <c:pt idx="7">
                  <c:v>3.2567049808429116E-2</c:v>
                </c:pt>
                <c:pt idx="8">
                  <c:v>2.9157667386609073E-2</c:v>
                </c:pt>
                <c:pt idx="9">
                  <c:v>2.9411764705882353E-2</c:v>
                </c:pt>
                <c:pt idx="10">
                  <c:v>3.292181069958848E-2</c:v>
                </c:pt>
                <c:pt idx="11">
                  <c:v>0.29580419580419581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5-4902-A3E3-405F62087DEC}"/>
            </c:ext>
          </c:extLst>
        </c:ser>
        <c:ser>
          <c:idx val="2"/>
          <c:order val="1"/>
          <c:tx>
            <c:strRef>
              <c:f>'Sales Trend Analysis'!$E$4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50800" cap="rnd">
              <a:solidFill>
                <a:srgbClr val="EE9E45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Analysis'!$E$5:$E$16</c:f>
              <c:numCache>
                <c:formatCode>0.00%</c:formatCode>
                <c:ptCount val="12"/>
                <c:pt idx="0">
                  <c:v>0.57296222664015906</c:v>
                </c:pt>
                <c:pt idx="1">
                  <c:v>0.56794063079777368</c:v>
                </c:pt>
                <c:pt idx="2">
                  <c:v>0.56625756266205707</c:v>
                </c:pt>
                <c:pt idx="3">
                  <c:v>0.57281089686891917</c:v>
                </c:pt>
                <c:pt idx="4">
                  <c:v>0.56253101736972699</c:v>
                </c:pt>
                <c:pt idx="5">
                  <c:v>0.57322450710197159</c:v>
                </c:pt>
                <c:pt idx="6">
                  <c:v>0.56702064896755167</c:v>
                </c:pt>
                <c:pt idx="7">
                  <c:v>0.5658823529411765</c:v>
                </c:pt>
                <c:pt idx="8">
                  <c:v>0.56610285714285713</c:v>
                </c:pt>
                <c:pt idx="9">
                  <c:v>0.56067878787878789</c:v>
                </c:pt>
                <c:pt idx="10">
                  <c:v>0.56785946649316854</c:v>
                </c:pt>
                <c:pt idx="11">
                  <c:v>0.40173469387755101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5-4902-A3E3-405F62087DEC}"/>
            </c:ext>
          </c:extLst>
        </c:ser>
        <c:ser>
          <c:idx val="3"/>
          <c:order val="2"/>
          <c:tx>
            <c:strRef>
              <c:f>'Sales Trend Analysis'!$F$4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508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Analysis'!$B$5:$B$16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'Sales Trend Analysis'!$F$5:$F$16</c:f>
              <c:numCache>
                <c:formatCode>0.00%</c:formatCode>
                <c:ptCount val="12"/>
                <c:pt idx="0">
                  <c:v>0.17003578528827037</c:v>
                </c:pt>
                <c:pt idx="1">
                  <c:v>0.17850834879406305</c:v>
                </c:pt>
                <c:pt idx="2">
                  <c:v>0.18745721694036302</c:v>
                </c:pt>
                <c:pt idx="3">
                  <c:v>0.19514947815319297</c:v>
                </c:pt>
                <c:pt idx="4">
                  <c:v>0.1885690653432589</c:v>
                </c:pt>
                <c:pt idx="5">
                  <c:v>0.15824040703837186</c:v>
                </c:pt>
                <c:pt idx="6">
                  <c:v>0.1618367748279253</c:v>
                </c:pt>
                <c:pt idx="7">
                  <c:v>0.21236781609195401</c:v>
                </c:pt>
                <c:pt idx="8">
                  <c:v>0.23989942857142857</c:v>
                </c:pt>
                <c:pt idx="9">
                  <c:v>9.7949090909090944E-2</c:v>
                </c:pt>
                <c:pt idx="10">
                  <c:v>0.13821730644111907</c:v>
                </c:pt>
                <c:pt idx="11">
                  <c:v>-0.10953061224489796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5-4902-A3E3-405F62087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800207"/>
        <c:axId val="1351343343"/>
      </c:lineChart>
      <c:catAx>
        <c:axId val="12458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43343"/>
        <c:crosses val="autoZero"/>
        <c:auto val="1"/>
        <c:lblAlgn val="ctr"/>
        <c:lblOffset val="100"/>
        <c:noMultiLvlLbl val="0"/>
      </c:catAx>
      <c:valAx>
        <c:axId val="13513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251012</xdr:colOff>
      <xdr:row>25</xdr:row>
      <xdr:rowOff>44823</xdr:rowOff>
    </xdr:from>
    <xdr:to>
      <xdr:col>12</xdr:col>
      <xdr:colOff>17930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265EC-9342-425A-8963-7DA5F7484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26894</xdr:colOff>
      <xdr:row>11</xdr:row>
      <xdr:rowOff>47065</xdr:rowOff>
    </xdr:from>
    <xdr:to>
      <xdr:col>6</xdr:col>
      <xdr:colOff>26894</xdr:colOff>
      <xdr:row>24</xdr:row>
      <xdr:rowOff>2241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199E1F-4781-4C27-8805-FDF15370F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251012</xdr:colOff>
      <xdr:row>11</xdr:row>
      <xdr:rowOff>44824</xdr:rowOff>
    </xdr:from>
    <xdr:to>
      <xdr:col>12</xdr:col>
      <xdr:colOff>17930</xdr:colOff>
      <xdr:row>24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C831F7-16A1-4646-939D-622261F7A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26894</xdr:colOff>
      <xdr:row>25</xdr:row>
      <xdr:rowOff>53340</xdr:rowOff>
    </xdr:from>
    <xdr:to>
      <xdr:col>6</xdr:col>
      <xdr:colOff>26894</xdr:colOff>
      <xdr:row>38</xdr:row>
      <xdr:rowOff>8517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92071B-5A83-48DE-AEC1-933C53C82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26894</xdr:colOff>
      <xdr:row>0</xdr:row>
      <xdr:rowOff>80681</xdr:rowOff>
    </xdr:from>
    <xdr:to>
      <xdr:col>12</xdr:col>
      <xdr:colOff>0</xdr:colOff>
      <xdr:row>10</xdr:row>
      <xdr:rowOff>80681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4941E91-BADD-4CEA-AEB1-99D55D65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680B4-6E38-77FC-F652-C6F9047EC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614CC-2953-4A94-AE4A-A62504715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0</xdr:row>
      <xdr:rowOff>0</xdr:rowOff>
    </xdr:from>
    <xdr:to>
      <xdr:col>4</xdr:col>
      <xdr:colOff>701040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5AF4AD-4DF5-D02B-6A98-567245231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3A626-247A-494E-A2CB-4DF6F6AD5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293370</xdr:colOff>
      <xdr:row>1</xdr:row>
      <xdr:rowOff>7620</xdr:rowOff>
    </xdr:from>
    <xdr:to>
      <xdr:col>14</xdr:col>
      <xdr:colOff>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2E83D-4476-4863-A74A-D264CC493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47</xdr:row>
      <xdr:rowOff>53340</xdr:rowOff>
    </xdr:from>
    <xdr:to>
      <xdr:col>9</xdr:col>
      <xdr:colOff>453390</xdr:colOff>
      <xdr:row>62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F9C0B7-D95E-4984-8FAA-C98C1DE55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171450</xdr:rowOff>
    </xdr:from>
    <xdr:to>
      <xdr:col>15</xdr:col>
      <xdr:colOff>0</xdr:colOff>
      <xdr:row>16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145C04-0984-0F2E-3FD4-401120EDE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44</xdr:row>
      <xdr:rowOff>53340</xdr:rowOff>
    </xdr:from>
    <xdr:to>
      <xdr:col>9</xdr:col>
      <xdr:colOff>453390</xdr:colOff>
      <xdr:row>59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379D6-24E4-8941-36BE-B816A3ECA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598170</xdr:colOff>
      <xdr:row>0</xdr:row>
      <xdr:rowOff>7620</xdr:rowOff>
    </xdr:from>
    <xdr:to>
      <xdr:col>14</xdr:col>
      <xdr:colOff>293370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888DC-4493-E518-5B38-0F21B4582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</xdr:colOff>
      <xdr:row>16</xdr:row>
      <xdr:rowOff>171450</xdr:rowOff>
    </xdr:from>
    <xdr:to>
      <xdr:col>14</xdr:col>
      <xdr:colOff>320040</xdr:colOff>
      <xdr:row>32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ED43EA-27B9-4061-8FAB-5A097F1F1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 Meowww" refreshedDate="46284.319043055555" createdVersion="8" refreshedVersion="8" minRefreshableVersion="3" recordCount="12" xr:uid="{CB5C52FE-53A3-4EF2-8760-41D7FB548981}">
  <cacheSource type="worksheet">
    <worksheetSource ref="A1:J13" sheet="Data"/>
  </cacheSource>
  <cacheFields count="18"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Gross Sales" numFmtId="164">
      <sharedItems containsSemiMixedTypes="0" containsString="0" containsNumber="1" containsInteger="1" minValue="44200" maxValue="92600"/>
    </cacheField>
    <cacheField name="Discounts" numFmtId="164">
      <sharedItems containsSemiMixedTypes="0" containsString="0" containsNumber="1" containsInteger="1" minValue="1150" maxValue="21150"/>
    </cacheField>
    <cacheField name="Refunds" numFmtId="164">
      <sharedItems containsSemiMixedTypes="0" containsString="0" containsNumber="1" containsInteger="1" minValue="780" maxValue="2400"/>
    </cacheField>
    <cacheField name="COGS" numFmtId="164">
      <sharedItems containsSemiMixedTypes="0" containsString="0" containsNumber="1" containsInteger="1" minValue="18122" maxValue="37966"/>
    </cacheField>
    <cacheField name="Month End Inventory" numFmtId="164">
      <sharedItems containsSemiMixedTypes="0" containsString="0" containsNumber="1" containsInteger="1" minValue="92000" maxValue="130000"/>
    </cacheField>
    <cacheField name="Marketing &amp; Advertising" numFmtId="164">
      <sharedItems containsSemiMixedTypes="0" containsString="0" containsNumber="1" containsInteger="1" minValue="2200" maxValue="6800"/>
    </cacheField>
    <cacheField name="Merchant &amp; Processing Fees" numFmtId="164">
      <sharedItems containsSemiMixedTypes="0" containsString="0" containsNumber="1" minValue="1237.5999999999999" maxValue="2592.8000000000002"/>
    </cacheField>
    <cacheField name="Payroll &amp; Software" numFmtId="164">
      <sharedItems containsSemiMixedTypes="0" containsString="0" containsNumber="1" containsInteger="1" minValue="11000" maxValue="14500"/>
    </cacheField>
    <cacheField name="Rent &amp; General Overhead" numFmtId="164">
      <sharedItems containsSemiMixedTypes="0" containsString="0" containsNumber="1" containsInteger="1" minValue="4500" maxValue="4650"/>
    </cacheField>
    <cacheField name="Net Sales" numFmtId="0" formula="'Gross Sales'- (Discounts+Refunds)" databaseField="0"/>
    <cacheField name="Total Operating Expenses" numFmtId="0" formula="'Marketing &amp; Advertising'+'Merchant &amp; Processing Fees'+'Payroll &amp; Software'+'Rent &amp; General Overhead'" databaseField="0"/>
    <cacheField name="Gross Profit" numFmtId="0" formula=" ('Net Sales') -COGS" databaseField="0"/>
    <cacheField name="Gross Profit Margin" numFmtId="0" formula=" ('Gross Profit') / ('Net Sales')" databaseField="0"/>
    <cacheField name="Gross to Net Ratio" numFmtId="0" formula=" ('Net Sales') / ('Gross Sales')" databaseField="0"/>
    <cacheField name="Discount Drag" numFmtId="0" formula="Discounts/ ('Gross Sales')" databaseField="0"/>
    <cacheField name="NOI (Net Operating Income)" numFmtId="0" formula=" ('Gross Profit') - ('Total Operating Expenses')" databaseField="0"/>
    <cacheField name="Operating Margin" numFmtId="0" formula=" ('NOI (Net Operating Income)') / ('Net Sales')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2400"/>
    <n v="1250"/>
    <n v="850"/>
    <n v="21480"/>
    <n v="112000"/>
    <n v="2800"/>
    <n v="1467.2"/>
    <n v="11500"/>
    <n v="4500"/>
  </r>
  <r>
    <x v="1"/>
    <n v="56800"/>
    <n v="1800"/>
    <n v="1100"/>
    <n v="23288"/>
    <n v="118500"/>
    <n v="3100"/>
    <n v="1590.4"/>
    <n v="11800"/>
    <n v="4500"/>
  </r>
  <r>
    <x v="2"/>
    <n v="61200"/>
    <n v="2100"/>
    <n v="1250"/>
    <n v="25092"/>
    <n v="115000"/>
    <n v="3500"/>
    <n v="1713.6"/>
    <n v="12200"/>
    <n v="4500"/>
  </r>
  <r>
    <x v="3"/>
    <n v="58900"/>
    <n v="1450"/>
    <n v="920"/>
    <n v="24149"/>
    <n v="121200"/>
    <n v="3200"/>
    <n v="1649.2"/>
    <n v="12000"/>
    <n v="4500"/>
  </r>
  <r>
    <x v="4"/>
    <n v="64500"/>
    <n v="2650"/>
    <n v="1400"/>
    <n v="26445"/>
    <n v="110800"/>
    <n v="3800"/>
    <n v="1806"/>
    <n v="12500"/>
    <n v="4500"/>
  </r>
  <r>
    <x v="5"/>
    <n v="49100"/>
    <n v="1150"/>
    <n v="780"/>
    <n v="20131"/>
    <n v="125400"/>
    <n v="2500"/>
    <n v="1374.8"/>
    <n v="11200"/>
    <n v="4500"/>
  </r>
  <r>
    <x v="6"/>
    <n v="53700"/>
    <n v="1900"/>
    <n v="950"/>
    <n v="22017"/>
    <n v="130000"/>
    <n v="3000"/>
    <n v="1503.6"/>
    <n v="11600"/>
    <n v="4500"/>
  </r>
  <r>
    <x v="7"/>
    <n v="78300"/>
    <n v="2550"/>
    <n v="1800"/>
    <n v="32103"/>
    <n v="105200"/>
    <n v="5500"/>
    <n v="2192.4"/>
    <n v="13800"/>
    <n v="4650"/>
  </r>
  <r>
    <x v="8"/>
    <n v="92600"/>
    <n v="2700"/>
    <n v="2400"/>
    <n v="37966"/>
    <n v="92000"/>
    <n v="6800"/>
    <n v="2592.8000000000002"/>
    <n v="14500"/>
    <n v="4650"/>
  </r>
  <r>
    <x v="9"/>
    <n v="44200"/>
    <n v="1300"/>
    <n v="1650"/>
    <n v="18122"/>
    <n v="114300"/>
    <n v="2200"/>
    <n v="1237.5999999999999"/>
    <n v="11000"/>
    <n v="4650"/>
  </r>
  <r>
    <x v="10"/>
    <n v="48600"/>
    <n v="1600"/>
    <n v="890"/>
    <n v="19926"/>
    <n v="120100"/>
    <n v="2600"/>
    <n v="1360.8"/>
    <n v="11200"/>
    <n v="4650"/>
  </r>
  <r>
    <x v="11"/>
    <n v="71500"/>
    <n v="21150"/>
    <n v="1350"/>
    <n v="29315"/>
    <n v="98400"/>
    <n v="5200"/>
    <n v="2002"/>
    <n v="13200"/>
    <n v="4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31322-3A20-4A5A-8C84-DDA48E5C82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Months">
  <location ref="A1:B14" firstHeaderRow="1" firstDataRow="1" firstDataCol="1"/>
  <pivotFields count="1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iscount Drag" fld="15" baseField="0" baseItem="0" numFmtId="166"/>
  </dataFields>
  <formats count="15"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fieldPosition="0">
        <references count="1">
          <reference field="0" count="0"/>
        </references>
      </pivotArea>
    </format>
    <format dxfId="10">
      <pivotArea field="0" type="button" dataOnly="0" labelOnly="1" outline="0" axis="axisRow" fieldPosition="0"/>
    </format>
    <format dxfId="9">
      <pivotArea field="0" type="button" dataOnly="0" labelOnly="1" outline="0" axis="axisRow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outline="0" axis="axisValues" fieldPosition="0"/>
    </format>
    <format dxfId="3">
      <pivotArea dataOnly="0" outline="0" axis="axisValues" fieldPosition="0"/>
    </format>
    <format dxfId="2">
      <pivotArea field="0" type="button" dataOnly="0" labelOnly="1" outline="0" axis="axisRow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2CF3A-1BF5-4C1E-A70D-54E635AED2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s">
  <location ref="A1:B14" firstHeaderRow="1" firstDataRow="1" firstDataCol="1"/>
  <pivotFields count="1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iscounts" fld="2" baseField="0" baseItem="0" numFmtId="165"/>
  </dataFields>
  <formats count="15"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fieldPosition="0">
        <references count="1">
          <reference field="0" count="0"/>
        </references>
      </pivotArea>
    </format>
    <format dxfId="66">
      <pivotArea dataOnly="0" labelOnly="1" fieldPosition="0">
        <references count="1">
          <reference field="0" count="0"/>
        </references>
      </pivotArea>
    </format>
    <format dxfId="65">
      <pivotArea field="0" type="button" dataOnly="0" labelOnly="1" outline="0" axis="axisRow" fieldPosition="0"/>
    </format>
    <format dxfId="64">
      <pivotArea field="0" type="button" dataOnly="0" labelOnly="1" outline="0" axis="axisRow" fieldPosition="0"/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dataOnly="0" outline="0" axis="axisValues" fieldPosition="0"/>
    </format>
    <format dxfId="58">
      <pivotArea dataOnly="0" outline="0" axis="axisValues" fieldPosition="0"/>
    </format>
    <format dxfId="57">
      <pivotArea field="0" type="button" dataOnly="0" labelOnly="1" outline="0" axis="axisRow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</format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FC585-9FE8-4A7A-99B9-65FBF800C4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Months">
  <location ref="A1:B14" firstHeaderRow="1" firstDataRow="1" firstDataCol="1"/>
  <pivotFields count="1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OI (Net Operating Income)" fld="16" baseField="0" baseItem="0" numFmtId="164"/>
  </dataFields>
  <formats count="25"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field="0" type="button" dataOnly="0" labelOnly="1" outline="0" axis="axisRow" fieldPosition="0"/>
    </format>
    <format dxfId="51">
      <pivotArea field="0" type="button" dataOnly="0" labelOnly="1" outline="0" axis="axisRow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grandRow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field="0" type="button" dataOnly="0" labelOnly="1" outline="0" axis="axisRow" fieldPosition="0"/>
    </format>
    <format dxfId="35">
      <pivotArea field="0" type="button" dataOnly="0" labelOnly="1" outline="0" axis="axisRow" fieldPosition="0"/>
    </format>
    <format dxfId="34">
      <pivotArea field="0" type="button" dataOnly="0" labelOnly="1" outline="0" axis="axisRow" fieldPosition="0"/>
    </format>
    <format dxfId="33">
      <pivotArea dataOnly="0" outline="0" axis="axisValues" fieldPosition="0"/>
    </format>
    <format dxfId="32">
      <pivotArea dataOnly="0" labelOnly="1" outline="0" axis="axisValues" fieldPosition="0"/>
    </format>
    <format dxfId="31">
      <pivotArea field="0" type="button" dataOnly="0" labelOnly="1" outline="0" axis="axisRow" fieldPosition="0"/>
    </format>
    <format dxfId="30">
      <pivotArea dataOnly="0" labelOnly="1" outline="0" axis="axisValues" fieldPosition="0"/>
    </format>
  </formats>
  <chartFormats count="7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A05B5-D8D7-4907-A69C-94D62D0310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Months">
  <location ref="A1:B14" firstHeaderRow="1" firstDataRow="1" firstDataCol="1"/>
  <pivotFields count="1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 to Net Ratio" fld="14" baseField="0" baseItem="0" numFmtId="10"/>
  </dataFields>
  <formats count="15"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fieldPosition="0">
        <references count="1">
          <reference field="0" count="0"/>
        </references>
      </pivotArea>
    </format>
    <format dxfId="25">
      <pivotArea field="0" type="button" dataOnly="0" labelOnly="1" outline="0" axis="axisRow" fieldPosition="0"/>
    </format>
    <format dxfId="24">
      <pivotArea field="0" type="button" dataOnly="0" labelOnly="1" outline="0" axis="axisRow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dataOnly="0" outline="0" axis="axisValues" fieldPosition="0"/>
    </format>
    <format dxfId="18">
      <pivotArea dataOnly="0" outline="0" axis="axisValues" fieldPosition="0"/>
    </format>
    <format dxfId="17">
      <pivotArea field="0" type="button" dataOnly="0" labelOnly="1" outline="0" axis="axisRow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5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E72E-EE49-4C4B-8883-3F20954AE33E}">
  <dimension ref="A1:R30"/>
  <sheetViews>
    <sheetView tabSelected="1" workbookViewId="0">
      <selection activeCell="C29" sqref="C29"/>
    </sheetView>
  </sheetViews>
  <sheetFormatPr defaultRowHeight="14.4" x14ac:dyDescent="0.3"/>
  <cols>
    <col min="1" max="1" width="33.109375" customWidth="1"/>
    <col min="2" max="9" width="11.6640625" bestFit="1" customWidth="1"/>
    <col min="10" max="10" width="10.6640625" bestFit="1" customWidth="1"/>
    <col min="11" max="12" width="11.6640625" bestFit="1" customWidth="1"/>
    <col min="13" max="13" width="10.6640625" bestFit="1" customWidth="1"/>
    <col min="14" max="14" width="13.33203125" bestFit="1" customWidth="1"/>
    <col min="15" max="15" width="17.77734375" customWidth="1"/>
    <col min="16" max="16" width="3" style="43" customWidth="1"/>
    <col min="17" max="17" width="62.5546875" style="43" customWidth="1"/>
    <col min="18" max="18" width="19.88671875" style="43" customWidth="1"/>
  </cols>
  <sheetData>
    <row r="1" spans="1:18" ht="19.2" thickTop="1" thickBot="1" x14ac:dyDescent="0.4">
      <c r="A1" s="36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5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44</v>
      </c>
      <c r="O1" s="79" t="s">
        <v>45</v>
      </c>
      <c r="P1" s="57" t="s">
        <v>47</v>
      </c>
      <c r="Q1" s="58" t="s">
        <v>47</v>
      </c>
      <c r="R1" s="59" t="s">
        <v>54</v>
      </c>
    </row>
    <row r="2" spans="1:18" ht="15" thickTop="1" x14ac:dyDescent="0.3">
      <c r="A2" s="37" t="s">
        <v>31</v>
      </c>
      <c r="B2" s="3"/>
      <c r="C2" s="4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47"/>
      <c r="P2" s="55"/>
      <c r="Q2" s="62" t="s">
        <v>48</v>
      </c>
      <c r="R2" s="71">
        <f>(O6-M6)/O6</f>
        <v>0.1387850317962484</v>
      </c>
    </row>
    <row r="3" spans="1:18" x14ac:dyDescent="0.3">
      <c r="A3" s="38" t="s">
        <v>13</v>
      </c>
      <c r="B3" s="123">
        <v>52400</v>
      </c>
      <c r="C3" s="124">
        <v>56800</v>
      </c>
      <c r="D3" s="124">
        <v>61200</v>
      </c>
      <c r="E3" s="123">
        <v>58900</v>
      </c>
      <c r="F3" s="124">
        <v>64500</v>
      </c>
      <c r="G3" s="123">
        <v>49100</v>
      </c>
      <c r="H3" s="124">
        <v>53700</v>
      </c>
      <c r="I3" s="123">
        <v>78300</v>
      </c>
      <c r="J3" s="124">
        <v>92600</v>
      </c>
      <c r="K3" s="123">
        <v>44200</v>
      </c>
      <c r="L3" s="124">
        <v>48600</v>
      </c>
      <c r="M3" s="124">
        <v>71500</v>
      </c>
      <c r="N3" s="125">
        <f>SUM(B3:M3)</f>
        <v>731800</v>
      </c>
      <c r="O3" s="126">
        <f>AVERAGE(B3:L3)</f>
        <v>60027.272727272728</v>
      </c>
      <c r="Q3" s="55" t="s">
        <v>56</v>
      </c>
      <c r="R3" s="60"/>
    </row>
    <row r="4" spans="1:18" x14ac:dyDescent="0.3">
      <c r="A4" s="38" t="s">
        <v>14</v>
      </c>
      <c r="B4" s="127">
        <v>1250</v>
      </c>
      <c r="C4" s="128">
        <v>1800</v>
      </c>
      <c r="D4" s="128">
        <v>2100</v>
      </c>
      <c r="E4" s="129">
        <v>1450</v>
      </c>
      <c r="F4" s="128">
        <v>2650</v>
      </c>
      <c r="G4" s="129">
        <v>1150</v>
      </c>
      <c r="H4" s="128">
        <v>1900</v>
      </c>
      <c r="I4" s="129">
        <v>2550</v>
      </c>
      <c r="J4" s="128">
        <v>2700</v>
      </c>
      <c r="K4" s="129">
        <v>1300</v>
      </c>
      <c r="L4" s="128">
        <v>1600</v>
      </c>
      <c r="M4" s="128">
        <v>21150</v>
      </c>
      <c r="N4" s="130">
        <f t="shared" ref="N4:N5" si="0">SUM(B4:M4)</f>
        <v>41600</v>
      </c>
      <c r="O4" s="126">
        <f>AVERAGE(B4:L4)</f>
        <v>1859.090909090909</v>
      </c>
      <c r="P4" s="54"/>
      <c r="Q4" s="63" t="s">
        <v>57</v>
      </c>
      <c r="R4" s="64">
        <f>O22-M22</f>
        <v>0.16583539292828076</v>
      </c>
    </row>
    <row r="5" spans="1:18" x14ac:dyDescent="0.3">
      <c r="A5" s="38" t="s">
        <v>15</v>
      </c>
      <c r="B5" s="123">
        <v>850</v>
      </c>
      <c r="C5" s="124">
        <v>1100</v>
      </c>
      <c r="D5" s="124">
        <v>1250</v>
      </c>
      <c r="E5" s="123">
        <v>920</v>
      </c>
      <c r="F5" s="124">
        <v>1400</v>
      </c>
      <c r="G5" s="123">
        <v>780</v>
      </c>
      <c r="H5" s="124">
        <v>950</v>
      </c>
      <c r="I5" s="123">
        <v>1800</v>
      </c>
      <c r="J5" s="124">
        <v>2400</v>
      </c>
      <c r="K5" s="123">
        <v>1650</v>
      </c>
      <c r="L5" s="124">
        <v>890</v>
      </c>
      <c r="M5" s="124">
        <v>1350</v>
      </c>
      <c r="N5" s="124">
        <f t="shared" si="0"/>
        <v>15340</v>
      </c>
      <c r="O5" s="131">
        <f>AVERAGE(B5:M5)</f>
        <v>1278.3333333333333</v>
      </c>
      <c r="Q5" s="55" t="s">
        <v>49</v>
      </c>
      <c r="R5" s="60"/>
    </row>
    <row r="6" spans="1:18" x14ac:dyDescent="0.3">
      <c r="A6" s="38" t="s">
        <v>30</v>
      </c>
      <c r="B6" s="132">
        <f t="shared" ref="B6:N6" si="1">B3-(B4+B5)</f>
        <v>50300</v>
      </c>
      <c r="C6" s="125">
        <f t="shared" si="1"/>
        <v>53900</v>
      </c>
      <c r="D6" s="125">
        <f t="shared" si="1"/>
        <v>57850</v>
      </c>
      <c r="E6" s="132">
        <f t="shared" si="1"/>
        <v>56530</v>
      </c>
      <c r="F6" s="125">
        <f t="shared" si="1"/>
        <v>60450</v>
      </c>
      <c r="G6" s="132">
        <f t="shared" si="1"/>
        <v>47170</v>
      </c>
      <c r="H6" s="125">
        <f t="shared" si="1"/>
        <v>50850</v>
      </c>
      <c r="I6" s="132">
        <f t="shared" si="1"/>
        <v>73950</v>
      </c>
      <c r="J6" s="125">
        <f t="shared" si="1"/>
        <v>87500</v>
      </c>
      <c r="K6" s="132">
        <f t="shared" si="1"/>
        <v>41250</v>
      </c>
      <c r="L6" s="125">
        <f t="shared" si="1"/>
        <v>46110</v>
      </c>
      <c r="M6" s="124">
        <f t="shared" si="1"/>
        <v>49000</v>
      </c>
      <c r="N6" s="133">
        <f t="shared" si="1"/>
        <v>674860</v>
      </c>
      <c r="O6" s="126">
        <f>AVERAGE(B6:L6)</f>
        <v>56896.36363636364</v>
      </c>
      <c r="P6" s="54" t="s">
        <v>55</v>
      </c>
      <c r="Q6" s="55" t="s">
        <v>58</v>
      </c>
      <c r="R6" s="60"/>
    </row>
    <row r="7" spans="1:18" x14ac:dyDescent="0.3">
      <c r="A7" s="32"/>
      <c r="B7" s="134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7"/>
      <c r="O7" s="135"/>
      <c r="P7" s="53"/>
      <c r="Q7" s="66" t="s">
        <v>59</v>
      </c>
      <c r="R7" s="65">
        <f>M24/O24</f>
        <v>9.6147104562556471</v>
      </c>
    </row>
    <row r="8" spans="1:18" x14ac:dyDescent="0.3">
      <c r="A8" s="39" t="s">
        <v>32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32"/>
      <c r="O8" s="136"/>
      <c r="P8" s="53"/>
      <c r="Q8" s="67" t="s">
        <v>46</v>
      </c>
      <c r="R8" s="72">
        <f>O24/M24</f>
        <v>0.1040072922164148</v>
      </c>
    </row>
    <row r="9" spans="1:18" x14ac:dyDescent="0.3">
      <c r="A9" s="40" t="s">
        <v>16</v>
      </c>
      <c r="B9" s="133">
        <v>21480</v>
      </c>
      <c r="C9" s="124">
        <v>23288</v>
      </c>
      <c r="D9" s="123">
        <v>25092</v>
      </c>
      <c r="E9" s="124">
        <v>24149</v>
      </c>
      <c r="F9" s="123">
        <v>26445</v>
      </c>
      <c r="G9" s="124">
        <v>20131</v>
      </c>
      <c r="H9" s="123">
        <v>22017</v>
      </c>
      <c r="I9" s="124">
        <v>32103</v>
      </c>
      <c r="J9" s="123">
        <v>37966</v>
      </c>
      <c r="K9" s="124">
        <v>18122</v>
      </c>
      <c r="L9" s="123">
        <v>19926</v>
      </c>
      <c r="M9" s="124">
        <v>29315</v>
      </c>
      <c r="N9" s="133">
        <f>SUM(B9:M9)</f>
        <v>300034</v>
      </c>
      <c r="O9" s="126">
        <f>AVERAGE(B9:L9)</f>
        <v>24610.81818181818</v>
      </c>
      <c r="P9" s="53"/>
      <c r="Q9" s="67" t="s">
        <v>50</v>
      </c>
      <c r="R9" s="71">
        <f>AVERAGE(B24:L24)</f>
        <v>3.0765793431848577E-2</v>
      </c>
    </row>
    <row r="10" spans="1:18" x14ac:dyDescent="0.3">
      <c r="A10" s="40" t="s">
        <v>18</v>
      </c>
      <c r="B10" s="133">
        <v>112000</v>
      </c>
      <c r="C10" s="124">
        <v>118500</v>
      </c>
      <c r="D10" s="123">
        <v>115000</v>
      </c>
      <c r="E10" s="124">
        <v>121200</v>
      </c>
      <c r="F10" s="123">
        <v>110800</v>
      </c>
      <c r="G10" s="124">
        <v>125400</v>
      </c>
      <c r="H10" s="123">
        <v>130000</v>
      </c>
      <c r="I10" s="124">
        <v>105200</v>
      </c>
      <c r="J10" s="123">
        <v>92000</v>
      </c>
      <c r="K10" s="124">
        <v>114300</v>
      </c>
      <c r="L10" s="123">
        <v>120100</v>
      </c>
      <c r="M10" s="124">
        <v>98400</v>
      </c>
      <c r="N10" s="133">
        <f>SUM(B10:M10)</f>
        <v>1362900</v>
      </c>
      <c r="O10" s="137">
        <f>AVERAGE(B10:L10)</f>
        <v>114954.54545454546</v>
      </c>
      <c r="P10" s="70"/>
      <c r="Q10" s="68" t="s">
        <v>51</v>
      </c>
      <c r="R10" s="64">
        <f>M24-R9</f>
        <v>0.26503840237234721</v>
      </c>
    </row>
    <row r="11" spans="1:18" x14ac:dyDescent="0.3">
      <c r="A11" s="40" t="s">
        <v>19</v>
      </c>
      <c r="B11" s="6">
        <f t="shared" ref="B11:N11" si="2">B9/B10</f>
        <v>0.19178571428571428</v>
      </c>
      <c r="C11" s="11">
        <f t="shared" si="2"/>
        <v>0.19652320675105486</v>
      </c>
      <c r="D11" s="5">
        <f t="shared" si="2"/>
        <v>0.21819130434782608</v>
      </c>
      <c r="E11" s="11">
        <f t="shared" si="2"/>
        <v>0.19924917491749175</v>
      </c>
      <c r="F11" s="5">
        <f t="shared" si="2"/>
        <v>0.23867328519855596</v>
      </c>
      <c r="G11" s="11">
        <f t="shared" si="2"/>
        <v>0.16053429027113236</v>
      </c>
      <c r="H11" s="5">
        <f t="shared" si="2"/>
        <v>0.16936153846153845</v>
      </c>
      <c r="I11" s="11">
        <f t="shared" si="2"/>
        <v>0.30516159695817491</v>
      </c>
      <c r="J11" s="5">
        <f t="shared" si="2"/>
        <v>0.41267391304347828</v>
      </c>
      <c r="K11" s="11">
        <f t="shared" si="2"/>
        <v>0.15854768153980753</v>
      </c>
      <c r="L11" s="5">
        <f t="shared" si="2"/>
        <v>0.16591174021648625</v>
      </c>
      <c r="M11" s="10">
        <f t="shared" si="2"/>
        <v>0.29791666666666666</v>
      </c>
      <c r="N11" s="6">
        <f t="shared" si="2"/>
        <v>0.22014381099126862</v>
      </c>
      <c r="O11" s="49">
        <f>AVERAGE(B11:L11)</f>
        <v>0.21969213145375102</v>
      </c>
      <c r="P11" s="53"/>
      <c r="Q11" s="67" t="s">
        <v>53</v>
      </c>
      <c r="R11" s="73"/>
    </row>
    <row r="12" spans="1:18" ht="15" thickBot="1" x14ac:dyDescent="0.35">
      <c r="A12" s="3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8"/>
      <c r="P12" s="53"/>
      <c r="Q12" s="69" t="s">
        <v>52</v>
      </c>
      <c r="R12" s="46">
        <f>(O6*O22)-(M6*M22)</f>
        <v>12607.674048027082</v>
      </c>
    </row>
    <row r="13" spans="1:18" ht="15" thickTop="1" x14ac:dyDescent="0.3">
      <c r="A13" s="39" t="s">
        <v>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  <c r="O13" s="50"/>
      <c r="P13" s="54"/>
    </row>
    <row r="14" spans="1:18" x14ac:dyDescent="0.3">
      <c r="A14" s="41" t="s">
        <v>21</v>
      </c>
      <c r="B14" s="138">
        <v>2800</v>
      </c>
      <c r="C14" s="139">
        <v>3100</v>
      </c>
      <c r="D14" s="139">
        <v>3500</v>
      </c>
      <c r="E14" s="127">
        <v>3200</v>
      </c>
      <c r="F14" s="139">
        <v>3800</v>
      </c>
      <c r="G14" s="127">
        <v>2500</v>
      </c>
      <c r="H14" s="140">
        <v>3000</v>
      </c>
      <c r="I14" s="139">
        <v>5500</v>
      </c>
      <c r="J14" s="127">
        <v>6800</v>
      </c>
      <c r="K14" s="139">
        <v>2200</v>
      </c>
      <c r="L14" s="127">
        <v>2600</v>
      </c>
      <c r="M14" s="124">
        <v>5200</v>
      </c>
      <c r="N14" s="141">
        <f>SUM(B14:M14)</f>
        <v>44200</v>
      </c>
      <c r="O14" s="142">
        <f>AVERAGE(B14:L14)</f>
        <v>3545.4545454545455</v>
      </c>
    </row>
    <row r="15" spans="1:18" x14ac:dyDescent="0.3">
      <c r="A15" s="40" t="s">
        <v>22</v>
      </c>
      <c r="B15" s="133">
        <v>1467.2</v>
      </c>
      <c r="C15" s="124">
        <v>1590.4</v>
      </c>
      <c r="D15" s="124">
        <v>1713.6</v>
      </c>
      <c r="E15" s="123">
        <v>1649.2</v>
      </c>
      <c r="F15" s="124">
        <v>1806</v>
      </c>
      <c r="G15" s="123">
        <v>1374.8</v>
      </c>
      <c r="H15" s="143">
        <v>1503.6</v>
      </c>
      <c r="I15" s="124">
        <v>2192.4</v>
      </c>
      <c r="J15" s="123">
        <v>2592.8000000000002</v>
      </c>
      <c r="K15" s="124">
        <v>1237.5999999999999</v>
      </c>
      <c r="L15" s="123">
        <v>1360.8</v>
      </c>
      <c r="M15" s="124">
        <v>2002</v>
      </c>
      <c r="N15" s="133">
        <f>SUM(B15:M15)</f>
        <v>20490.399999999998</v>
      </c>
      <c r="O15" s="137">
        <f>AVERAGE(B15:L15)</f>
        <v>1680.7636363636361</v>
      </c>
    </row>
    <row r="16" spans="1:18" x14ac:dyDescent="0.3">
      <c r="A16" s="40" t="s">
        <v>23</v>
      </c>
      <c r="B16" s="133">
        <v>11500</v>
      </c>
      <c r="C16" s="124">
        <v>11800</v>
      </c>
      <c r="D16" s="124">
        <v>12200</v>
      </c>
      <c r="E16" s="123">
        <v>12000</v>
      </c>
      <c r="F16" s="124">
        <v>12500</v>
      </c>
      <c r="G16" s="123">
        <v>11200</v>
      </c>
      <c r="H16" s="143">
        <v>11600</v>
      </c>
      <c r="I16" s="124">
        <v>13800</v>
      </c>
      <c r="J16" s="123">
        <v>14500</v>
      </c>
      <c r="K16" s="124">
        <v>11000</v>
      </c>
      <c r="L16" s="123">
        <v>11200</v>
      </c>
      <c r="M16" s="125">
        <v>13200</v>
      </c>
      <c r="N16" s="124">
        <f>SUM(B16:M16)</f>
        <v>146500</v>
      </c>
      <c r="O16" s="137">
        <f>AVERAGE(B16:L16)</f>
        <v>12118.181818181818</v>
      </c>
      <c r="P16" s="54"/>
    </row>
    <row r="17" spans="1:18" x14ac:dyDescent="0.3">
      <c r="A17" s="41" t="s">
        <v>24</v>
      </c>
      <c r="B17" s="138">
        <v>4500</v>
      </c>
      <c r="C17" s="139">
        <v>4500</v>
      </c>
      <c r="D17" s="139">
        <v>4500</v>
      </c>
      <c r="E17" s="127">
        <v>4500</v>
      </c>
      <c r="F17" s="139">
        <v>4500</v>
      </c>
      <c r="G17" s="127">
        <v>4500</v>
      </c>
      <c r="H17" s="140">
        <v>4500</v>
      </c>
      <c r="I17" s="139">
        <v>4650</v>
      </c>
      <c r="J17" s="127">
        <v>4650</v>
      </c>
      <c r="K17" s="139">
        <v>4650</v>
      </c>
      <c r="L17" s="127">
        <v>4650</v>
      </c>
      <c r="M17" s="139">
        <v>4650</v>
      </c>
      <c r="N17" s="124">
        <f>SUM(B17:M17)</f>
        <v>54750</v>
      </c>
      <c r="O17" s="126">
        <f>AVERAGE(B17:L17)</f>
        <v>4554.545454545455</v>
      </c>
    </row>
    <row r="18" spans="1:18" x14ac:dyDescent="0.3">
      <c r="A18" s="40" t="s">
        <v>25</v>
      </c>
      <c r="B18" s="133">
        <f>SUM(B14:B17)</f>
        <v>20267.2</v>
      </c>
      <c r="C18" s="124">
        <f t="shared" ref="C18:N18" si="3">SUM(C14:C17)</f>
        <v>20990.400000000001</v>
      </c>
      <c r="D18" s="124">
        <f t="shared" si="3"/>
        <v>21913.599999999999</v>
      </c>
      <c r="E18" s="123">
        <f t="shared" si="3"/>
        <v>21349.200000000001</v>
      </c>
      <c r="F18" s="124">
        <f t="shared" si="3"/>
        <v>22606</v>
      </c>
      <c r="G18" s="123">
        <f t="shared" si="3"/>
        <v>19574.8</v>
      </c>
      <c r="H18" s="143">
        <f t="shared" si="3"/>
        <v>20603.599999999999</v>
      </c>
      <c r="I18" s="124">
        <f t="shared" si="3"/>
        <v>26142.400000000001</v>
      </c>
      <c r="J18" s="123">
        <f t="shared" si="3"/>
        <v>28542.799999999999</v>
      </c>
      <c r="K18" s="124">
        <f t="shared" si="3"/>
        <v>19087.599999999999</v>
      </c>
      <c r="L18" s="123">
        <f t="shared" si="3"/>
        <v>19810.8</v>
      </c>
      <c r="M18" s="124">
        <f t="shared" si="3"/>
        <v>25052</v>
      </c>
      <c r="N18" s="124">
        <f t="shared" si="3"/>
        <v>265940.40000000002</v>
      </c>
      <c r="O18" s="126">
        <f>AVERAGE(B18:L18)</f>
        <v>21898.945454545454</v>
      </c>
      <c r="Q18" s="52"/>
      <c r="R18" s="52"/>
    </row>
    <row r="19" spans="1:18" x14ac:dyDescent="0.3">
      <c r="A19" s="32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6"/>
      <c r="P19" s="55"/>
      <c r="Q19" s="45"/>
      <c r="R19" s="45"/>
    </row>
    <row r="20" spans="1:18" x14ac:dyDescent="0.3">
      <c r="A20" s="39" t="s">
        <v>34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32"/>
      <c r="O20" s="144"/>
    </row>
    <row r="21" spans="1:18" x14ac:dyDescent="0.3">
      <c r="A21" s="40" t="s">
        <v>33</v>
      </c>
      <c r="B21" s="123">
        <f t="shared" ref="B21:N21" si="4">B6-B9</f>
        <v>28820</v>
      </c>
      <c r="C21" s="124">
        <f t="shared" si="4"/>
        <v>30612</v>
      </c>
      <c r="D21" s="123">
        <f t="shared" si="4"/>
        <v>32758</v>
      </c>
      <c r="E21" s="124">
        <f t="shared" si="4"/>
        <v>32381</v>
      </c>
      <c r="F21" s="123">
        <f t="shared" si="4"/>
        <v>34005</v>
      </c>
      <c r="G21" s="124">
        <f t="shared" si="4"/>
        <v>27039</v>
      </c>
      <c r="H21" s="123">
        <f t="shared" si="4"/>
        <v>28833</v>
      </c>
      <c r="I21" s="124">
        <f t="shared" si="4"/>
        <v>41847</v>
      </c>
      <c r="J21" s="123">
        <f t="shared" si="4"/>
        <v>49534</v>
      </c>
      <c r="K21" s="124">
        <f t="shared" si="4"/>
        <v>23128</v>
      </c>
      <c r="L21" s="123">
        <f t="shared" si="4"/>
        <v>26184</v>
      </c>
      <c r="M21" s="124">
        <f t="shared" si="4"/>
        <v>19685</v>
      </c>
      <c r="N21" s="123">
        <f t="shared" si="4"/>
        <v>374826</v>
      </c>
      <c r="O21" s="131">
        <f t="shared" ref="O21:O26" si="5">AVERAGE(B21:L21)</f>
        <v>32285.545454545456</v>
      </c>
      <c r="Q21" s="52"/>
      <c r="R21" s="52"/>
    </row>
    <row r="22" spans="1:18" x14ac:dyDescent="0.3">
      <c r="A22" s="40" t="s">
        <v>17</v>
      </c>
      <c r="B22" s="5">
        <f t="shared" ref="B22:N22" si="6">B21/B6</f>
        <v>0.57296222664015906</v>
      </c>
      <c r="C22" s="11">
        <f t="shared" si="6"/>
        <v>0.56794063079777368</v>
      </c>
      <c r="D22" s="5">
        <f t="shared" si="6"/>
        <v>0.56625756266205707</v>
      </c>
      <c r="E22" s="11">
        <f t="shared" si="6"/>
        <v>0.57281089686891917</v>
      </c>
      <c r="F22" s="5">
        <f t="shared" si="6"/>
        <v>0.56253101736972699</v>
      </c>
      <c r="G22" s="11">
        <f t="shared" si="6"/>
        <v>0.57322450710197159</v>
      </c>
      <c r="H22" s="5">
        <f t="shared" si="6"/>
        <v>0.56702064896755167</v>
      </c>
      <c r="I22" s="11">
        <f t="shared" si="6"/>
        <v>0.5658823529411765</v>
      </c>
      <c r="J22" s="5">
        <f t="shared" si="6"/>
        <v>0.56610285714285713</v>
      </c>
      <c r="K22" s="11">
        <f t="shared" si="6"/>
        <v>0.56067878787878789</v>
      </c>
      <c r="L22" s="5">
        <f t="shared" si="6"/>
        <v>0.56785946649316854</v>
      </c>
      <c r="M22" s="11">
        <f t="shared" si="6"/>
        <v>0.40173469387755101</v>
      </c>
      <c r="N22" s="5">
        <f t="shared" si="6"/>
        <v>0.5554129745428682</v>
      </c>
      <c r="O22" s="49">
        <f t="shared" si="5"/>
        <v>0.56757008680583176</v>
      </c>
      <c r="P22" s="54"/>
      <c r="Q22" s="56"/>
      <c r="R22" s="51"/>
    </row>
    <row r="23" spans="1:18" x14ac:dyDescent="0.3">
      <c r="A23" s="40" t="s">
        <v>29</v>
      </c>
      <c r="B23" s="8">
        <f>B6/B3</f>
        <v>0.95992366412213737</v>
      </c>
      <c r="C23" s="8">
        <f t="shared" ref="C23:N23" si="7">C6/C3</f>
        <v>0.948943661971831</v>
      </c>
      <c r="D23" s="8">
        <f t="shared" si="7"/>
        <v>0.9452614379084967</v>
      </c>
      <c r="E23" s="8">
        <f t="shared" si="7"/>
        <v>0.95976230899830217</v>
      </c>
      <c r="F23" s="8">
        <f t="shared" si="7"/>
        <v>0.93720930232558142</v>
      </c>
      <c r="G23" s="8">
        <f t="shared" si="7"/>
        <v>0.96069246435845213</v>
      </c>
      <c r="H23" s="8">
        <f t="shared" si="7"/>
        <v>0.94692737430167595</v>
      </c>
      <c r="I23" s="8">
        <f t="shared" si="7"/>
        <v>0.94444444444444442</v>
      </c>
      <c r="J23" s="8">
        <f t="shared" si="7"/>
        <v>0.94492440604751615</v>
      </c>
      <c r="K23" s="8">
        <f t="shared" si="7"/>
        <v>0.93325791855203621</v>
      </c>
      <c r="L23" s="8">
        <f t="shared" si="7"/>
        <v>0.9487654320987654</v>
      </c>
      <c r="M23" s="9">
        <f t="shared" si="7"/>
        <v>0.68531468531468531</v>
      </c>
      <c r="N23" s="8">
        <f t="shared" si="7"/>
        <v>0.92219185569827822</v>
      </c>
      <c r="O23" s="49">
        <f t="shared" si="5"/>
        <v>0.94819203773902172</v>
      </c>
      <c r="Q23" s="52"/>
      <c r="R23" s="52"/>
    </row>
    <row r="24" spans="1:18" x14ac:dyDescent="0.3">
      <c r="A24" s="41" t="s">
        <v>72</v>
      </c>
      <c r="B24" s="12">
        <f t="shared" ref="B24:N24" si="8">B4/B3</f>
        <v>2.385496183206107E-2</v>
      </c>
      <c r="C24" s="12">
        <f t="shared" si="8"/>
        <v>3.1690140845070422E-2</v>
      </c>
      <c r="D24" s="7">
        <f t="shared" si="8"/>
        <v>3.4313725490196081E-2</v>
      </c>
      <c r="E24" s="12">
        <f t="shared" si="8"/>
        <v>2.4617996604414261E-2</v>
      </c>
      <c r="F24" s="7">
        <f t="shared" si="8"/>
        <v>4.1085271317829457E-2</v>
      </c>
      <c r="G24" s="12">
        <f t="shared" si="8"/>
        <v>2.3421588594704685E-2</v>
      </c>
      <c r="H24" s="7">
        <f t="shared" si="8"/>
        <v>3.5381750465549346E-2</v>
      </c>
      <c r="I24" s="12">
        <f t="shared" si="8"/>
        <v>3.2567049808429116E-2</v>
      </c>
      <c r="J24" s="7">
        <f t="shared" si="8"/>
        <v>2.9157667386609073E-2</v>
      </c>
      <c r="K24" s="12">
        <f t="shared" si="8"/>
        <v>2.9411764705882353E-2</v>
      </c>
      <c r="L24" s="7">
        <f t="shared" si="8"/>
        <v>3.292181069958848E-2</v>
      </c>
      <c r="M24" s="12">
        <f t="shared" si="8"/>
        <v>0.29580419580419581</v>
      </c>
      <c r="N24" s="5">
        <f t="shared" si="8"/>
        <v>5.684613282317573E-2</v>
      </c>
      <c r="O24" s="49">
        <f t="shared" si="5"/>
        <v>3.0765793431848577E-2</v>
      </c>
      <c r="P24" s="54"/>
      <c r="Q24" s="56"/>
      <c r="R24" s="51"/>
    </row>
    <row r="25" spans="1:18" x14ac:dyDescent="0.3">
      <c r="A25" s="40" t="s">
        <v>27</v>
      </c>
      <c r="B25" s="5">
        <f t="shared" ref="B25:N25" si="9">B26/B6</f>
        <v>0.17003578528827037</v>
      </c>
      <c r="C25" s="11">
        <f t="shared" si="9"/>
        <v>0.17850834879406305</v>
      </c>
      <c r="D25" s="5">
        <f t="shared" si="9"/>
        <v>0.18745721694036302</v>
      </c>
      <c r="E25" s="11">
        <f t="shared" si="9"/>
        <v>0.19514947815319297</v>
      </c>
      <c r="F25" s="5">
        <f t="shared" si="9"/>
        <v>0.1885690653432589</v>
      </c>
      <c r="G25" s="11">
        <f t="shared" si="9"/>
        <v>0.15824040703837186</v>
      </c>
      <c r="H25" s="5">
        <f t="shared" si="9"/>
        <v>0.1618367748279253</v>
      </c>
      <c r="I25" s="11">
        <f t="shared" si="9"/>
        <v>0.21236781609195401</v>
      </c>
      <c r="J25" s="5">
        <f t="shared" si="9"/>
        <v>0.23989942857142857</v>
      </c>
      <c r="K25" s="11">
        <f t="shared" si="9"/>
        <v>9.7949090909090944E-2</v>
      </c>
      <c r="L25" s="5">
        <f t="shared" si="9"/>
        <v>0.13821730644111907</v>
      </c>
      <c r="M25" s="11">
        <f t="shared" si="9"/>
        <v>-0.10953061224489796</v>
      </c>
      <c r="N25" s="5">
        <f t="shared" si="9"/>
        <v>0.16134546424443585</v>
      </c>
      <c r="O25" s="49">
        <f t="shared" si="5"/>
        <v>0.17529370167263983</v>
      </c>
      <c r="Q25" s="52"/>
      <c r="R25" s="52"/>
    </row>
    <row r="26" spans="1:18" ht="15" thickBot="1" x14ac:dyDescent="0.35">
      <c r="A26" s="42" t="s">
        <v>28</v>
      </c>
      <c r="B26" s="145">
        <f t="shared" ref="B26:N26" si="10">B21-B18</f>
        <v>8552.7999999999993</v>
      </c>
      <c r="C26" s="146">
        <f t="shared" si="10"/>
        <v>9621.5999999999985</v>
      </c>
      <c r="D26" s="145">
        <f t="shared" si="10"/>
        <v>10844.400000000001</v>
      </c>
      <c r="E26" s="146">
        <f t="shared" si="10"/>
        <v>11031.8</v>
      </c>
      <c r="F26" s="145">
        <f t="shared" si="10"/>
        <v>11399</v>
      </c>
      <c r="G26" s="146">
        <f t="shared" si="10"/>
        <v>7464.2000000000007</v>
      </c>
      <c r="H26" s="145">
        <f t="shared" si="10"/>
        <v>8229.4000000000015</v>
      </c>
      <c r="I26" s="146">
        <f t="shared" si="10"/>
        <v>15704.599999999999</v>
      </c>
      <c r="J26" s="145">
        <f t="shared" si="10"/>
        <v>20991.200000000001</v>
      </c>
      <c r="K26" s="146">
        <f t="shared" si="10"/>
        <v>4040.4000000000015</v>
      </c>
      <c r="L26" s="145">
        <f t="shared" si="10"/>
        <v>6373.2000000000007</v>
      </c>
      <c r="M26" s="146">
        <f t="shared" si="10"/>
        <v>-5367</v>
      </c>
      <c r="N26" s="147">
        <f t="shared" si="10"/>
        <v>108885.59999999998</v>
      </c>
      <c r="O26" s="148">
        <f t="shared" si="5"/>
        <v>10386.600000000002</v>
      </c>
      <c r="Q26" s="45"/>
      <c r="R26" s="45"/>
    </row>
    <row r="27" spans="1:18" ht="15" thickTop="1" x14ac:dyDescent="0.3"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</row>
    <row r="29" spans="1:18" x14ac:dyDescent="0.3">
      <c r="Q29" s="52"/>
      <c r="R29" s="52"/>
    </row>
    <row r="30" spans="1:18" x14ac:dyDescent="0.3">
      <c r="Q30" s="44"/>
      <c r="R30" s="44"/>
    </row>
  </sheetData>
  <pageMargins left="0.7" right="0.7" top="0.75" bottom="0.75" header="0.3" footer="0.3"/>
  <ignoredErrors>
    <ignoredError sqref="O9:O10 O3:O4 O14:O17" formulaRange="1"/>
    <ignoredError sqref="O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ADB7-485E-4D1F-B053-4C73B3F3350D}">
  <dimension ref="A1:A10"/>
  <sheetViews>
    <sheetView zoomScale="85" zoomScaleNormal="85" workbookViewId="0">
      <selection activeCell="O21" sqref="O21"/>
    </sheetView>
  </sheetViews>
  <sheetFormatPr defaultRowHeight="14.4" x14ac:dyDescent="0.3"/>
  <cols>
    <col min="1" max="11" width="8.88671875" style="170"/>
    <col min="12" max="12" width="12.33203125" style="170" customWidth="1"/>
    <col min="13" max="16384" width="8.88671875" style="170"/>
  </cols>
  <sheetData>
    <row r="1" s="170" customFormat="1" x14ac:dyDescent="0.3"/>
    <row r="2" s="170" customFormat="1" x14ac:dyDescent="0.3"/>
    <row r="3" s="170" customFormat="1" x14ac:dyDescent="0.3"/>
    <row r="4" s="170" customFormat="1" x14ac:dyDescent="0.3"/>
    <row r="5" s="170" customFormat="1" x14ac:dyDescent="0.3"/>
    <row r="6" s="170" customFormat="1" x14ac:dyDescent="0.3"/>
    <row r="7" s="170" customFormat="1" x14ac:dyDescent="0.3"/>
    <row r="8" s="170" customFormat="1" x14ac:dyDescent="0.3"/>
    <row r="9" s="170" customFormat="1" x14ac:dyDescent="0.3"/>
    <row r="10" s="170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8AEF-30E6-4C0F-A83A-C4807BBDEC4C}">
  <dimension ref="A1:IX16"/>
  <sheetViews>
    <sheetView workbookViewId="0">
      <selection activeCell="J15" sqref="J15"/>
    </sheetView>
  </sheetViews>
  <sheetFormatPr defaultRowHeight="14.4" x14ac:dyDescent="0.3"/>
  <cols>
    <col min="1" max="1" width="10.5546875" bestFit="1" customWidth="1"/>
    <col min="2" max="2" width="18.6640625" style="168" bestFit="1" customWidth="1"/>
    <col min="3" max="3" width="3.6640625" customWidth="1"/>
    <col min="4" max="8" width="8.5546875" bestFit="1" customWidth="1"/>
    <col min="9" max="9" width="9.77734375" customWidth="1"/>
    <col min="10" max="12" width="8.5546875" bestFit="1" customWidth="1"/>
    <col min="13" max="13" width="8.5546875" style="84" bestFit="1" customWidth="1"/>
    <col min="14" max="14" width="8.5546875" bestFit="1" customWidth="1"/>
    <col min="15" max="16" width="8.5546875" style="84" bestFit="1" customWidth="1"/>
    <col min="17" max="17" width="8.5546875" bestFit="1" customWidth="1"/>
    <col min="18" max="18" width="15.109375" style="84" customWidth="1"/>
  </cols>
  <sheetData>
    <row r="1" spans="1:258" s="87" customFormat="1" x14ac:dyDescent="0.3">
      <c r="A1" s="91" t="s">
        <v>69</v>
      </c>
      <c r="B1" s="167" t="s">
        <v>67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  <c r="HC1" s="165"/>
      <c r="HD1" s="165"/>
      <c r="HE1" s="165"/>
      <c r="HF1" s="165"/>
      <c r="HG1" s="165"/>
      <c r="HH1" s="165"/>
      <c r="HI1" s="165"/>
      <c r="HJ1" s="165"/>
      <c r="HK1" s="165"/>
      <c r="HL1" s="165"/>
      <c r="HM1" s="165"/>
      <c r="HN1" s="165"/>
      <c r="HO1" s="165"/>
      <c r="HP1" s="165"/>
      <c r="HQ1" s="165"/>
      <c r="HR1" s="165"/>
      <c r="HS1" s="165"/>
      <c r="HT1" s="165"/>
      <c r="HU1" s="165"/>
      <c r="HV1" s="165"/>
      <c r="HW1" s="165"/>
      <c r="HX1" s="165"/>
      <c r="HY1" s="165"/>
      <c r="HZ1" s="165"/>
      <c r="IA1" s="165"/>
      <c r="IB1" s="165"/>
      <c r="IC1" s="165"/>
      <c r="ID1" s="165"/>
      <c r="IE1" s="165"/>
      <c r="IF1" s="165"/>
      <c r="IG1" s="165"/>
      <c r="IH1" s="165"/>
      <c r="II1" s="165"/>
      <c r="IJ1" s="165"/>
      <c r="IK1" s="165"/>
      <c r="IL1" s="165"/>
      <c r="IM1" s="165"/>
      <c r="IN1" s="165"/>
      <c r="IO1" s="165"/>
      <c r="IP1" s="165"/>
      <c r="IQ1" s="165"/>
      <c r="IR1" s="165"/>
      <c r="IS1" s="165"/>
      <c r="IT1" s="165"/>
      <c r="IU1" s="165"/>
      <c r="IV1" s="165"/>
      <c r="IW1" s="165"/>
      <c r="IX1" s="165"/>
    </row>
    <row r="2" spans="1:258" x14ac:dyDescent="0.3">
      <c r="A2" s="86" t="s">
        <v>10</v>
      </c>
      <c r="B2" s="168">
        <v>2.9411764705882353E-2</v>
      </c>
      <c r="M2"/>
      <c r="O2"/>
      <c r="P2"/>
      <c r="R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x14ac:dyDescent="0.3">
      <c r="A3" s="86" t="s">
        <v>11</v>
      </c>
      <c r="B3" s="168">
        <v>3.292181069958848E-2</v>
      </c>
      <c r="M3"/>
      <c r="O3"/>
      <c r="P3"/>
      <c r="R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x14ac:dyDescent="0.3">
      <c r="A4" s="86" t="s">
        <v>12</v>
      </c>
      <c r="B4" s="168">
        <v>0.29580419580419581</v>
      </c>
      <c r="M4"/>
      <c r="O4"/>
      <c r="P4"/>
      <c r="R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x14ac:dyDescent="0.3">
      <c r="A5" s="86" t="s">
        <v>1</v>
      </c>
      <c r="B5" s="168">
        <v>2.385496183206107E-2</v>
      </c>
      <c r="M5"/>
      <c r="O5"/>
      <c r="P5"/>
      <c r="R5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3">
      <c r="A6" s="86" t="s">
        <v>2</v>
      </c>
      <c r="B6" s="168">
        <v>3.1690140845070422E-2</v>
      </c>
      <c r="M6"/>
      <c r="O6"/>
      <c r="P6"/>
      <c r="R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x14ac:dyDescent="0.3">
      <c r="A7" s="86" t="s">
        <v>3</v>
      </c>
      <c r="B7" s="168">
        <v>3.4313725490196081E-2</v>
      </c>
      <c r="M7"/>
      <c r="O7"/>
      <c r="P7"/>
      <c r="R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x14ac:dyDescent="0.3">
      <c r="A8" s="86" t="s">
        <v>4</v>
      </c>
      <c r="B8" s="168">
        <v>2.4617996604414261E-2</v>
      </c>
      <c r="M8"/>
      <c r="O8"/>
      <c r="P8"/>
      <c r="R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x14ac:dyDescent="0.3">
      <c r="A9" s="86" t="s">
        <v>5</v>
      </c>
      <c r="B9" s="168">
        <v>4.1085271317829457E-2</v>
      </c>
      <c r="M9"/>
      <c r="O9"/>
      <c r="P9"/>
      <c r="R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x14ac:dyDescent="0.3">
      <c r="A10" s="86" t="s">
        <v>6</v>
      </c>
      <c r="B10" s="168">
        <v>2.3421588594704685E-2</v>
      </c>
      <c r="M10"/>
      <c r="O10"/>
      <c r="P10"/>
      <c r="R1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x14ac:dyDescent="0.3">
      <c r="A11" s="86" t="s">
        <v>7</v>
      </c>
      <c r="B11" s="168">
        <v>3.5381750465549346E-2</v>
      </c>
      <c r="M11"/>
      <c r="O11"/>
      <c r="P11"/>
      <c r="R1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x14ac:dyDescent="0.3">
      <c r="A12" s="86" t="s">
        <v>8</v>
      </c>
      <c r="B12" s="168">
        <v>3.2567049808429116E-2</v>
      </c>
      <c r="M12"/>
      <c r="O12"/>
      <c r="P12"/>
      <c r="R1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x14ac:dyDescent="0.3">
      <c r="A13" s="86" t="s">
        <v>9</v>
      </c>
      <c r="B13" s="168">
        <v>2.9157667386609073E-2</v>
      </c>
      <c r="M13"/>
      <c r="O13"/>
      <c r="P13"/>
      <c r="R1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s="91" customFormat="1" x14ac:dyDescent="0.3">
      <c r="A14" s="88" t="s">
        <v>64</v>
      </c>
      <c r="B14" s="167">
        <v>5.684613282317573E-2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  <c r="GR14" s="166"/>
      <c r="GS14" s="166"/>
      <c r="GT14" s="166"/>
      <c r="GU14" s="166"/>
      <c r="GV14" s="166"/>
      <c r="GW14" s="166"/>
      <c r="GX14" s="166"/>
      <c r="GY14" s="166"/>
      <c r="GZ14" s="166"/>
      <c r="HA14" s="166"/>
      <c r="HB14" s="166"/>
      <c r="HC14" s="166"/>
      <c r="HD14" s="166"/>
      <c r="HE14" s="166"/>
      <c r="HF14" s="166"/>
      <c r="HG14" s="166"/>
      <c r="HH14" s="166"/>
      <c r="HI14" s="166"/>
      <c r="HJ14" s="166"/>
      <c r="HK14" s="166"/>
      <c r="HL14" s="166"/>
      <c r="HM14" s="166"/>
      <c r="HN14" s="166"/>
      <c r="HO14" s="166"/>
      <c r="HP14" s="166"/>
      <c r="HQ14" s="166"/>
      <c r="HR14" s="166"/>
      <c r="HS14" s="166"/>
      <c r="HT14" s="166"/>
      <c r="HU14" s="166"/>
      <c r="HV14" s="166"/>
      <c r="HW14" s="166"/>
      <c r="HX14" s="166"/>
      <c r="HY14" s="166"/>
      <c r="HZ14" s="166"/>
      <c r="IA14" s="166"/>
      <c r="IB14" s="166"/>
      <c r="IC14" s="166"/>
      <c r="ID14" s="166"/>
      <c r="IE14" s="166"/>
      <c r="IF14" s="166"/>
      <c r="IG14" s="166"/>
      <c r="IH14" s="166"/>
      <c r="II14" s="166"/>
      <c r="IJ14" s="166"/>
      <c r="IK14" s="166"/>
      <c r="IL14" s="166"/>
      <c r="IM14" s="166"/>
      <c r="IN14" s="166"/>
      <c r="IO14" s="166"/>
      <c r="IP14" s="166"/>
      <c r="IQ14" s="166"/>
      <c r="IR14" s="166"/>
      <c r="IS14" s="166"/>
      <c r="IT14" s="166"/>
      <c r="IU14" s="166"/>
      <c r="IV14" s="166"/>
      <c r="IW14" s="166"/>
      <c r="IX14" s="166"/>
    </row>
    <row r="15" spans="1:258" x14ac:dyDescent="0.3">
      <c r="S15" s="1"/>
    </row>
    <row r="16" spans="1:258" x14ac:dyDescent="0.3">
      <c r="S16" s="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76C6-3552-4E76-A3BA-C01F200C5793}">
  <dimension ref="A1:IX16"/>
  <sheetViews>
    <sheetView workbookViewId="0">
      <selection activeCell="I27" sqref="I27"/>
    </sheetView>
  </sheetViews>
  <sheetFormatPr defaultRowHeight="14.4" x14ac:dyDescent="0.3"/>
  <cols>
    <col min="1" max="1" width="10.5546875" bestFit="1" customWidth="1"/>
    <col min="2" max="2" width="15.33203125" style="169" bestFit="1" customWidth="1"/>
    <col min="3" max="3" width="3" customWidth="1"/>
    <col min="4" max="8" width="8.5546875" bestFit="1" customWidth="1"/>
    <col min="9" max="9" width="23.88671875" customWidth="1"/>
    <col min="10" max="12" width="8.5546875" bestFit="1" customWidth="1"/>
    <col min="13" max="13" width="8.5546875" style="84" bestFit="1" customWidth="1"/>
    <col min="14" max="14" width="8.5546875" bestFit="1" customWidth="1"/>
    <col min="15" max="16" width="8.5546875" style="84" bestFit="1" customWidth="1"/>
    <col min="17" max="17" width="8.5546875" bestFit="1" customWidth="1"/>
    <col min="18" max="18" width="15.109375" style="84" customWidth="1"/>
  </cols>
  <sheetData>
    <row r="1" spans="1:258" s="87" customFormat="1" x14ac:dyDescent="0.3">
      <c r="A1" s="91" t="s">
        <v>69</v>
      </c>
      <c r="B1" s="163" t="s">
        <v>65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  <c r="HC1" s="165"/>
      <c r="HD1" s="165"/>
      <c r="HE1" s="165"/>
      <c r="HF1" s="165"/>
      <c r="HG1" s="165"/>
      <c r="HH1" s="165"/>
      <c r="HI1" s="165"/>
      <c r="HJ1" s="165"/>
      <c r="HK1" s="165"/>
      <c r="HL1" s="165"/>
      <c r="HM1" s="165"/>
      <c r="HN1" s="165"/>
      <c r="HO1" s="165"/>
      <c r="HP1" s="165"/>
      <c r="HQ1" s="165"/>
      <c r="HR1" s="165"/>
      <c r="HS1" s="165"/>
      <c r="HT1" s="165"/>
      <c r="HU1" s="165"/>
      <c r="HV1" s="165"/>
      <c r="HW1" s="165"/>
      <c r="HX1" s="165"/>
      <c r="HY1" s="165"/>
      <c r="HZ1" s="165"/>
      <c r="IA1" s="165"/>
      <c r="IB1" s="165"/>
      <c r="IC1" s="165"/>
      <c r="ID1" s="165"/>
      <c r="IE1" s="165"/>
      <c r="IF1" s="165"/>
      <c r="IG1" s="165"/>
      <c r="IH1" s="165"/>
      <c r="II1" s="165"/>
      <c r="IJ1" s="165"/>
      <c r="IK1" s="165"/>
      <c r="IL1" s="165"/>
      <c r="IM1" s="165"/>
      <c r="IN1" s="165"/>
      <c r="IO1" s="165"/>
      <c r="IP1" s="165"/>
      <c r="IQ1" s="165"/>
      <c r="IR1" s="165"/>
      <c r="IS1" s="165"/>
      <c r="IT1" s="165"/>
      <c r="IU1" s="165"/>
      <c r="IV1" s="165"/>
      <c r="IW1" s="165"/>
      <c r="IX1" s="165"/>
    </row>
    <row r="2" spans="1:258" x14ac:dyDescent="0.3">
      <c r="A2" s="86" t="s">
        <v>10</v>
      </c>
      <c r="B2" s="162">
        <v>1300</v>
      </c>
      <c r="M2"/>
      <c r="O2"/>
      <c r="P2"/>
      <c r="R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x14ac:dyDescent="0.3">
      <c r="A3" s="86" t="s">
        <v>11</v>
      </c>
      <c r="B3" s="162">
        <v>1600</v>
      </c>
      <c r="M3"/>
      <c r="O3"/>
      <c r="P3"/>
      <c r="R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x14ac:dyDescent="0.3">
      <c r="A4" s="86" t="s">
        <v>12</v>
      </c>
      <c r="B4" s="162">
        <v>21150</v>
      </c>
      <c r="M4"/>
      <c r="O4"/>
      <c r="P4"/>
      <c r="R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x14ac:dyDescent="0.3">
      <c r="A5" s="86" t="s">
        <v>1</v>
      </c>
      <c r="B5" s="162">
        <v>1250</v>
      </c>
      <c r="M5"/>
      <c r="O5"/>
      <c r="P5"/>
      <c r="R5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3">
      <c r="A6" s="86" t="s">
        <v>2</v>
      </c>
      <c r="B6" s="162">
        <v>1800</v>
      </c>
      <c r="M6"/>
      <c r="O6"/>
      <c r="P6"/>
      <c r="R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x14ac:dyDescent="0.3">
      <c r="A7" s="86" t="s">
        <v>3</v>
      </c>
      <c r="B7" s="162">
        <v>2100</v>
      </c>
      <c r="M7"/>
      <c r="O7"/>
      <c r="P7"/>
      <c r="R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x14ac:dyDescent="0.3">
      <c r="A8" s="86" t="s">
        <v>4</v>
      </c>
      <c r="B8" s="162">
        <v>1450</v>
      </c>
      <c r="M8"/>
      <c r="O8"/>
      <c r="P8"/>
      <c r="R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x14ac:dyDescent="0.3">
      <c r="A9" s="86" t="s">
        <v>5</v>
      </c>
      <c r="B9" s="162">
        <v>2650</v>
      </c>
      <c r="M9"/>
      <c r="O9"/>
      <c r="P9"/>
      <c r="R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x14ac:dyDescent="0.3">
      <c r="A10" s="86" t="s">
        <v>6</v>
      </c>
      <c r="B10" s="162">
        <v>1150</v>
      </c>
      <c r="M10"/>
      <c r="O10"/>
      <c r="P10"/>
      <c r="R1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x14ac:dyDescent="0.3">
      <c r="A11" s="86" t="s">
        <v>7</v>
      </c>
      <c r="B11" s="162">
        <v>1900</v>
      </c>
      <c r="M11"/>
      <c r="O11"/>
      <c r="P11"/>
      <c r="R1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x14ac:dyDescent="0.3">
      <c r="A12" s="86" t="s">
        <v>8</v>
      </c>
      <c r="B12" s="162">
        <v>2550</v>
      </c>
      <c r="M12"/>
      <c r="O12"/>
      <c r="P12"/>
      <c r="R1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x14ac:dyDescent="0.3">
      <c r="A13" s="86" t="s">
        <v>9</v>
      </c>
      <c r="B13" s="162">
        <v>2700</v>
      </c>
      <c r="M13"/>
      <c r="O13"/>
      <c r="P13"/>
      <c r="R1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s="91" customFormat="1" x14ac:dyDescent="0.3">
      <c r="A14" s="88" t="s">
        <v>64</v>
      </c>
      <c r="B14" s="163">
        <v>41600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  <c r="GR14" s="166"/>
      <c r="GS14" s="166"/>
      <c r="GT14" s="166"/>
      <c r="GU14" s="166"/>
      <c r="GV14" s="166"/>
      <c r="GW14" s="166"/>
      <c r="GX14" s="166"/>
      <c r="GY14" s="166"/>
      <c r="GZ14" s="166"/>
      <c r="HA14" s="166"/>
      <c r="HB14" s="166"/>
      <c r="HC14" s="166"/>
      <c r="HD14" s="166"/>
      <c r="HE14" s="166"/>
      <c r="HF14" s="166"/>
      <c r="HG14" s="166"/>
      <c r="HH14" s="166"/>
      <c r="HI14" s="166"/>
      <c r="HJ14" s="166"/>
      <c r="HK14" s="166"/>
      <c r="HL14" s="166"/>
      <c r="HM14" s="166"/>
      <c r="HN14" s="166"/>
      <c r="HO14" s="166"/>
      <c r="HP14" s="166"/>
      <c r="HQ14" s="166"/>
      <c r="HR14" s="166"/>
      <c r="HS14" s="166"/>
      <c r="HT14" s="166"/>
      <c r="HU14" s="166"/>
      <c r="HV14" s="166"/>
      <c r="HW14" s="166"/>
      <c r="HX14" s="166"/>
      <c r="HY14" s="166"/>
      <c r="HZ14" s="166"/>
      <c r="IA14" s="166"/>
      <c r="IB14" s="166"/>
      <c r="IC14" s="166"/>
      <c r="ID14" s="166"/>
      <c r="IE14" s="166"/>
      <c r="IF14" s="166"/>
      <c r="IG14" s="166"/>
      <c r="IH14" s="166"/>
      <c r="II14" s="166"/>
      <c r="IJ14" s="166"/>
      <c r="IK14" s="166"/>
      <c r="IL14" s="166"/>
      <c r="IM14" s="166"/>
      <c r="IN14" s="166"/>
      <c r="IO14" s="166"/>
      <c r="IP14" s="166"/>
      <c r="IQ14" s="166"/>
      <c r="IR14" s="166"/>
      <c r="IS14" s="166"/>
      <c r="IT14" s="166"/>
      <c r="IU14" s="166"/>
      <c r="IV14" s="166"/>
      <c r="IW14" s="166"/>
      <c r="IX14" s="166"/>
    </row>
    <row r="15" spans="1:258" x14ac:dyDescent="0.3">
      <c r="S15" s="1"/>
    </row>
    <row r="16" spans="1:258" x14ac:dyDescent="0.3">
      <c r="S16" s="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A24C-06F1-47B6-BAAD-368490B2398F}">
  <dimension ref="A1:R1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  <col min="2" max="3" width="30.5546875" bestFit="1" customWidth="1"/>
    <col min="4" max="4" width="16.77734375" bestFit="1" customWidth="1"/>
    <col min="5" max="5" width="10.44140625" customWidth="1"/>
    <col min="6" max="12" width="16.77734375" bestFit="1" customWidth="1"/>
    <col min="13" max="13" width="16.77734375" style="84" bestFit="1" customWidth="1"/>
    <col min="14" max="14" width="16.77734375" bestFit="1" customWidth="1"/>
    <col min="15" max="16" width="16.77734375" style="84" bestFit="1" customWidth="1"/>
    <col min="17" max="17" width="16.77734375" bestFit="1" customWidth="1"/>
    <col min="18" max="18" width="16.77734375" style="84" bestFit="1" customWidth="1"/>
  </cols>
  <sheetData>
    <row r="1" spans="1:18" s="91" customFormat="1" x14ac:dyDescent="0.3">
      <c r="A1" s="91" t="s">
        <v>69</v>
      </c>
      <c r="B1" s="91" t="s">
        <v>68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x14ac:dyDescent="0.3">
      <c r="A2" s="85" t="s">
        <v>10</v>
      </c>
      <c r="B2" s="13">
        <v>4040.4000000000015</v>
      </c>
      <c r="M2"/>
      <c r="O2"/>
      <c r="P2"/>
      <c r="R2"/>
    </row>
    <row r="3" spans="1:18" x14ac:dyDescent="0.3">
      <c r="A3" s="85" t="s">
        <v>11</v>
      </c>
      <c r="B3" s="13">
        <v>6373.2000000000007</v>
      </c>
      <c r="M3"/>
      <c r="O3"/>
      <c r="P3"/>
      <c r="R3"/>
    </row>
    <row r="4" spans="1:18" x14ac:dyDescent="0.3">
      <c r="A4" s="85" t="s">
        <v>12</v>
      </c>
      <c r="B4" s="13">
        <v>-5367</v>
      </c>
      <c r="M4"/>
      <c r="O4"/>
      <c r="P4"/>
      <c r="R4"/>
    </row>
    <row r="5" spans="1:18" x14ac:dyDescent="0.3">
      <c r="A5" s="85" t="s">
        <v>1</v>
      </c>
      <c r="B5" s="13">
        <v>8552.7999999999993</v>
      </c>
      <c r="M5"/>
      <c r="O5"/>
      <c r="P5"/>
      <c r="R5"/>
    </row>
    <row r="6" spans="1:18" x14ac:dyDescent="0.3">
      <c r="A6" s="85" t="s">
        <v>2</v>
      </c>
      <c r="B6" s="13">
        <v>9621.5999999999985</v>
      </c>
      <c r="D6" s="164"/>
      <c r="M6"/>
      <c r="O6"/>
      <c r="P6"/>
      <c r="R6"/>
    </row>
    <row r="7" spans="1:18" x14ac:dyDescent="0.3">
      <c r="A7" s="85" t="s">
        <v>3</v>
      </c>
      <c r="B7" s="13">
        <v>10844.400000000001</v>
      </c>
      <c r="M7"/>
      <c r="O7"/>
      <c r="P7"/>
      <c r="R7"/>
    </row>
    <row r="8" spans="1:18" x14ac:dyDescent="0.3">
      <c r="A8" s="85" t="s">
        <v>4</v>
      </c>
      <c r="B8" s="13">
        <v>11031.8</v>
      </c>
      <c r="M8"/>
      <c r="O8"/>
      <c r="P8"/>
      <c r="R8"/>
    </row>
    <row r="9" spans="1:18" x14ac:dyDescent="0.3">
      <c r="A9" s="85" t="s">
        <v>5</v>
      </c>
      <c r="B9" s="13">
        <v>11399</v>
      </c>
      <c r="M9"/>
      <c r="O9"/>
      <c r="P9"/>
      <c r="R9"/>
    </row>
    <row r="10" spans="1:18" x14ac:dyDescent="0.3">
      <c r="A10" s="85" t="s">
        <v>6</v>
      </c>
      <c r="B10" s="13">
        <v>7464.2000000000007</v>
      </c>
      <c r="M10"/>
      <c r="O10"/>
      <c r="P10"/>
      <c r="R10"/>
    </row>
    <row r="11" spans="1:18" x14ac:dyDescent="0.3">
      <c r="A11" s="85" t="s">
        <v>7</v>
      </c>
      <c r="B11" s="13">
        <v>8229.4000000000015</v>
      </c>
      <c r="M11"/>
      <c r="O11"/>
      <c r="P11"/>
      <c r="R11"/>
    </row>
    <row r="12" spans="1:18" x14ac:dyDescent="0.3">
      <c r="A12" s="85" t="s">
        <v>8</v>
      </c>
      <c r="B12" s="13">
        <v>15704.599999999999</v>
      </c>
      <c r="M12"/>
      <c r="O12"/>
      <c r="P12"/>
      <c r="R12"/>
    </row>
    <row r="13" spans="1:18" x14ac:dyDescent="0.3">
      <c r="A13" s="85" t="s">
        <v>9</v>
      </c>
      <c r="B13" s="13">
        <v>20991.200000000001</v>
      </c>
      <c r="M13"/>
      <c r="O13"/>
      <c r="P13"/>
      <c r="R13"/>
    </row>
    <row r="14" spans="1:18" s="91" customFormat="1" x14ac:dyDescent="0.3">
      <c r="A14" s="88" t="s">
        <v>64</v>
      </c>
      <c r="B14" s="89">
        <v>108885.59999999998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A2C6-2141-4EBC-AFC3-DAE690E81E63}">
  <dimension ref="A1:IX16"/>
  <sheetViews>
    <sheetView workbookViewId="0">
      <selection activeCell="F29" sqref="F29"/>
    </sheetView>
  </sheetViews>
  <sheetFormatPr defaultRowHeight="14.4" x14ac:dyDescent="0.3"/>
  <cols>
    <col min="1" max="1" width="10.5546875" bestFit="1" customWidth="1"/>
    <col min="2" max="2" width="22.109375" style="84" bestFit="1" customWidth="1"/>
    <col min="3" max="3" width="4.6640625" customWidth="1"/>
    <col min="4" max="8" width="8.5546875" bestFit="1" customWidth="1"/>
    <col min="9" max="9" width="8.5546875" customWidth="1"/>
    <col min="10" max="10" width="6.109375" customWidth="1"/>
    <col min="11" max="12" width="8.5546875" bestFit="1" customWidth="1"/>
    <col min="13" max="13" width="8.5546875" style="84" bestFit="1" customWidth="1"/>
    <col min="14" max="14" width="8.5546875" bestFit="1" customWidth="1"/>
    <col min="15" max="16" width="8.5546875" style="84" bestFit="1" customWidth="1"/>
    <col min="17" max="17" width="8.5546875" bestFit="1" customWidth="1"/>
    <col min="18" max="18" width="15.109375" style="84" customWidth="1"/>
  </cols>
  <sheetData>
    <row r="1" spans="1:258" s="87" customFormat="1" x14ac:dyDescent="0.3">
      <c r="A1" s="91" t="s">
        <v>69</v>
      </c>
      <c r="B1" s="90" t="s">
        <v>66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  <c r="HC1" s="165"/>
      <c r="HD1" s="165"/>
      <c r="HE1" s="165"/>
      <c r="HF1" s="165"/>
      <c r="HG1" s="165"/>
      <c r="HH1" s="165"/>
      <c r="HI1" s="165"/>
      <c r="HJ1" s="165"/>
      <c r="HK1" s="165"/>
      <c r="HL1" s="165"/>
      <c r="HM1" s="165"/>
      <c r="HN1" s="165"/>
      <c r="HO1" s="165"/>
      <c r="HP1" s="165"/>
      <c r="HQ1" s="165"/>
      <c r="HR1" s="165"/>
      <c r="HS1" s="165"/>
      <c r="HT1" s="165"/>
      <c r="HU1" s="165"/>
      <c r="HV1" s="165"/>
      <c r="HW1" s="165"/>
      <c r="HX1" s="165"/>
      <c r="HY1" s="165"/>
      <c r="HZ1" s="165"/>
      <c r="IA1" s="165"/>
      <c r="IB1" s="165"/>
      <c r="IC1" s="165"/>
      <c r="ID1" s="165"/>
      <c r="IE1" s="165"/>
      <c r="IF1" s="165"/>
      <c r="IG1" s="165"/>
      <c r="IH1" s="165"/>
      <c r="II1" s="165"/>
      <c r="IJ1" s="165"/>
      <c r="IK1" s="165"/>
      <c r="IL1" s="165"/>
      <c r="IM1" s="165"/>
      <c r="IN1" s="165"/>
      <c r="IO1" s="165"/>
      <c r="IP1" s="165"/>
      <c r="IQ1" s="165"/>
      <c r="IR1" s="165"/>
      <c r="IS1" s="165"/>
      <c r="IT1" s="165"/>
      <c r="IU1" s="165"/>
      <c r="IV1" s="165"/>
      <c r="IW1" s="165"/>
      <c r="IX1" s="165"/>
    </row>
    <row r="2" spans="1:258" x14ac:dyDescent="0.3">
      <c r="A2" s="86" t="s">
        <v>10</v>
      </c>
      <c r="B2" s="14">
        <v>0.93325791855203621</v>
      </c>
      <c r="M2"/>
      <c r="O2"/>
      <c r="P2"/>
      <c r="R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x14ac:dyDescent="0.3">
      <c r="A3" s="86" t="s">
        <v>11</v>
      </c>
      <c r="B3" s="14">
        <v>0.9487654320987654</v>
      </c>
      <c r="M3"/>
      <c r="O3"/>
      <c r="P3"/>
      <c r="R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x14ac:dyDescent="0.3">
      <c r="A4" s="86" t="s">
        <v>12</v>
      </c>
      <c r="B4" s="14">
        <v>0.68531468531468531</v>
      </c>
      <c r="M4"/>
      <c r="O4"/>
      <c r="P4"/>
      <c r="R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x14ac:dyDescent="0.3">
      <c r="A5" s="86" t="s">
        <v>1</v>
      </c>
      <c r="B5" s="14">
        <v>0.95992366412213737</v>
      </c>
      <c r="M5"/>
      <c r="O5"/>
      <c r="P5"/>
      <c r="R5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3">
      <c r="A6" s="86" t="s">
        <v>2</v>
      </c>
      <c r="B6" s="14">
        <v>0.948943661971831</v>
      </c>
      <c r="M6"/>
      <c r="O6"/>
      <c r="P6"/>
      <c r="R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x14ac:dyDescent="0.3">
      <c r="A7" s="86" t="s">
        <v>3</v>
      </c>
      <c r="B7" s="14">
        <v>0.9452614379084967</v>
      </c>
      <c r="M7"/>
      <c r="O7"/>
      <c r="P7"/>
      <c r="R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x14ac:dyDescent="0.3">
      <c r="A8" s="86" t="s">
        <v>4</v>
      </c>
      <c r="B8" s="14">
        <v>0.95976230899830217</v>
      </c>
      <c r="M8"/>
      <c r="O8"/>
      <c r="P8"/>
      <c r="R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x14ac:dyDescent="0.3">
      <c r="A9" s="86" t="s">
        <v>5</v>
      </c>
      <c r="B9" s="14">
        <v>0.93720930232558142</v>
      </c>
      <c r="M9"/>
      <c r="O9"/>
      <c r="P9"/>
      <c r="R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x14ac:dyDescent="0.3">
      <c r="A10" s="86" t="s">
        <v>6</v>
      </c>
      <c r="B10" s="14">
        <v>0.96069246435845213</v>
      </c>
      <c r="M10"/>
      <c r="O10"/>
      <c r="P10"/>
      <c r="R1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x14ac:dyDescent="0.3">
      <c r="A11" s="86" t="s">
        <v>7</v>
      </c>
      <c r="B11" s="14">
        <v>0.94692737430167595</v>
      </c>
      <c r="M11"/>
      <c r="O11"/>
      <c r="P11"/>
      <c r="R1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x14ac:dyDescent="0.3">
      <c r="A12" s="86" t="s">
        <v>8</v>
      </c>
      <c r="B12" s="14">
        <v>0.94444444444444442</v>
      </c>
      <c r="M12"/>
      <c r="O12"/>
      <c r="P12"/>
      <c r="R1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x14ac:dyDescent="0.3">
      <c r="A13" s="86" t="s">
        <v>9</v>
      </c>
      <c r="B13" s="14">
        <v>0.94492440604751615</v>
      </c>
      <c r="M13"/>
      <c r="O13"/>
      <c r="P13"/>
      <c r="R1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s="91" customFormat="1" x14ac:dyDescent="0.3">
      <c r="A14" s="88" t="s">
        <v>64</v>
      </c>
      <c r="B14" s="90">
        <v>0.92219185569827822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  <c r="GR14" s="166"/>
      <c r="GS14" s="166"/>
      <c r="GT14" s="166"/>
      <c r="GU14" s="166"/>
      <c r="GV14" s="166"/>
      <c r="GW14" s="166"/>
      <c r="GX14" s="166"/>
      <c r="GY14" s="166"/>
      <c r="GZ14" s="166"/>
      <c r="HA14" s="166"/>
      <c r="HB14" s="166"/>
      <c r="HC14" s="166"/>
      <c r="HD14" s="166"/>
      <c r="HE14" s="166"/>
      <c r="HF14" s="166"/>
      <c r="HG14" s="166"/>
      <c r="HH14" s="166"/>
      <c r="HI14" s="166"/>
      <c r="HJ14" s="166"/>
      <c r="HK14" s="166"/>
      <c r="HL14" s="166"/>
      <c r="HM14" s="166"/>
      <c r="HN14" s="166"/>
      <c r="HO14" s="166"/>
      <c r="HP14" s="166"/>
      <c r="HQ14" s="166"/>
      <c r="HR14" s="166"/>
      <c r="HS14" s="166"/>
      <c r="HT14" s="166"/>
      <c r="HU14" s="166"/>
      <c r="HV14" s="166"/>
      <c r="HW14" s="166"/>
      <c r="HX14" s="166"/>
      <c r="HY14" s="166"/>
      <c r="HZ14" s="166"/>
      <c r="IA14" s="166"/>
      <c r="IB14" s="166"/>
      <c r="IC14" s="166"/>
      <c r="ID14" s="166"/>
      <c r="IE14" s="166"/>
      <c r="IF14" s="166"/>
      <c r="IG14" s="166"/>
      <c r="IH14" s="166"/>
      <c r="II14" s="166"/>
      <c r="IJ14" s="166"/>
      <c r="IK14" s="166"/>
      <c r="IL14" s="166"/>
      <c r="IM14" s="166"/>
      <c r="IN14" s="166"/>
      <c r="IO14" s="166"/>
      <c r="IP14" s="166"/>
      <c r="IQ14" s="166"/>
      <c r="IR14" s="166"/>
      <c r="IS14" s="166"/>
      <c r="IT14" s="166"/>
      <c r="IU14" s="166"/>
      <c r="IV14" s="166"/>
      <c r="IW14" s="166"/>
      <c r="IX14" s="166"/>
    </row>
    <row r="15" spans="1:258" x14ac:dyDescent="0.3">
      <c r="S15" s="1"/>
    </row>
    <row r="16" spans="1:258" x14ac:dyDescent="0.3">
      <c r="S16" s="1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F1B6-808D-4DB2-8C8D-22B953B58B15}">
  <dimension ref="B2:F16"/>
  <sheetViews>
    <sheetView workbookViewId="0">
      <selection activeCell="N22" sqref="N22"/>
    </sheetView>
  </sheetViews>
  <sheetFormatPr defaultRowHeight="14.4" x14ac:dyDescent="0.3"/>
  <cols>
    <col min="1" max="1" width="2.77734375" customWidth="1"/>
    <col min="3" max="3" width="15.5546875" customWidth="1"/>
    <col min="4" max="4" width="14" customWidth="1"/>
    <col min="5" max="5" width="13.88671875" customWidth="1"/>
    <col min="6" max="6" width="20.88671875" customWidth="1"/>
    <col min="7" max="7" width="4.33203125" customWidth="1"/>
  </cols>
  <sheetData>
    <row r="2" spans="2:6" ht="18" x14ac:dyDescent="0.35">
      <c r="C2" s="172" t="s">
        <v>71</v>
      </c>
      <c r="D2" s="172"/>
      <c r="E2" s="172"/>
      <c r="F2" s="172"/>
    </row>
    <row r="4" spans="2:6" x14ac:dyDescent="0.3">
      <c r="B4" s="30" t="s">
        <v>35</v>
      </c>
      <c r="C4" s="102" t="s">
        <v>37</v>
      </c>
      <c r="D4" s="103" t="s">
        <v>38</v>
      </c>
      <c r="E4" s="31" t="s">
        <v>70</v>
      </c>
      <c r="F4" s="112" t="s">
        <v>26</v>
      </c>
    </row>
    <row r="5" spans="2:6" x14ac:dyDescent="0.3">
      <c r="B5" s="15" t="s">
        <v>1</v>
      </c>
      <c r="C5" s="104">
        <v>52400</v>
      </c>
      <c r="D5" s="105">
        <v>21480</v>
      </c>
      <c r="E5" s="16">
        <v>2.385496183206107E-2</v>
      </c>
      <c r="F5" s="113">
        <v>8552.7999999999993</v>
      </c>
    </row>
    <row r="6" spans="2:6" x14ac:dyDescent="0.3">
      <c r="B6" s="17" t="s">
        <v>2</v>
      </c>
      <c r="C6" s="106">
        <v>56800</v>
      </c>
      <c r="D6" s="107">
        <v>23288</v>
      </c>
      <c r="E6" s="18">
        <v>3.1690140845070422E-2</v>
      </c>
      <c r="F6" s="114">
        <v>9621.5999999999985</v>
      </c>
    </row>
    <row r="7" spans="2:6" x14ac:dyDescent="0.3">
      <c r="B7" s="15" t="s">
        <v>3</v>
      </c>
      <c r="C7" s="104">
        <v>61200</v>
      </c>
      <c r="D7" s="105">
        <v>25092</v>
      </c>
      <c r="E7" s="16">
        <v>3.4313725490196081E-2</v>
      </c>
      <c r="F7" s="113">
        <v>10844.400000000001</v>
      </c>
    </row>
    <row r="8" spans="2:6" x14ac:dyDescent="0.3">
      <c r="B8" s="19" t="s">
        <v>4</v>
      </c>
      <c r="C8" s="108">
        <v>58900</v>
      </c>
      <c r="D8" s="109">
        <v>24149</v>
      </c>
      <c r="E8" s="20">
        <v>2.4617996604414261E-2</v>
      </c>
      <c r="F8" s="115">
        <v>11031.8</v>
      </c>
    </row>
    <row r="9" spans="2:6" x14ac:dyDescent="0.3">
      <c r="B9" s="15" t="s">
        <v>5</v>
      </c>
      <c r="C9" s="104">
        <v>64500</v>
      </c>
      <c r="D9" s="105">
        <v>26445</v>
      </c>
      <c r="E9" s="16">
        <v>4.1085271317829457E-2</v>
      </c>
      <c r="F9" s="113">
        <v>11399</v>
      </c>
    </row>
    <row r="10" spans="2:6" x14ac:dyDescent="0.3">
      <c r="B10" s="17" t="s">
        <v>6</v>
      </c>
      <c r="C10" s="106">
        <v>49100</v>
      </c>
      <c r="D10" s="107">
        <v>20131</v>
      </c>
      <c r="E10" s="18">
        <v>2.3421588594704685E-2</v>
      </c>
      <c r="F10" s="114">
        <v>7464.2000000000007</v>
      </c>
    </row>
    <row r="11" spans="2:6" x14ac:dyDescent="0.3">
      <c r="B11" s="15" t="s">
        <v>7</v>
      </c>
      <c r="C11" s="104">
        <v>53700</v>
      </c>
      <c r="D11" s="105">
        <v>22017</v>
      </c>
      <c r="E11" s="16">
        <v>3.5381750465549346E-2</v>
      </c>
      <c r="F11" s="113">
        <v>8229.4000000000015</v>
      </c>
    </row>
    <row r="12" spans="2:6" x14ac:dyDescent="0.3">
      <c r="B12" s="17" t="s">
        <v>8</v>
      </c>
      <c r="C12" s="106">
        <v>78300</v>
      </c>
      <c r="D12" s="107">
        <v>32103</v>
      </c>
      <c r="E12" s="18">
        <v>3.2567049808429116E-2</v>
      </c>
      <c r="F12" s="114">
        <v>15704.599999999999</v>
      </c>
    </row>
    <row r="13" spans="2:6" x14ac:dyDescent="0.3">
      <c r="B13" s="15" t="s">
        <v>9</v>
      </c>
      <c r="C13" s="104">
        <v>92600</v>
      </c>
      <c r="D13" s="105">
        <v>37966</v>
      </c>
      <c r="E13" s="16">
        <v>2.9157667386609073E-2</v>
      </c>
      <c r="F13" s="113">
        <v>20991.200000000001</v>
      </c>
    </row>
    <row r="14" spans="2:6" x14ac:dyDescent="0.3">
      <c r="B14" s="17" t="s">
        <v>10</v>
      </c>
      <c r="C14" s="106">
        <v>44200</v>
      </c>
      <c r="D14" s="107">
        <v>18122</v>
      </c>
      <c r="E14" s="18">
        <v>2.9411764705882353E-2</v>
      </c>
      <c r="F14" s="114">
        <v>4040.4000000000015</v>
      </c>
    </row>
    <row r="15" spans="2:6" x14ac:dyDescent="0.3">
      <c r="B15" s="15" t="s">
        <v>11</v>
      </c>
      <c r="C15" s="104">
        <v>48600</v>
      </c>
      <c r="D15" s="105">
        <v>19926</v>
      </c>
      <c r="E15" s="16">
        <v>3.292181069958848E-2</v>
      </c>
      <c r="F15" s="113">
        <v>6373.2000000000007</v>
      </c>
    </row>
    <row r="16" spans="2:6" x14ac:dyDescent="0.3">
      <c r="B16" s="21" t="s">
        <v>12</v>
      </c>
      <c r="C16" s="110">
        <v>71500</v>
      </c>
      <c r="D16" s="111">
        <v>29315</v>
      </c>
      <c r="E16" s="22">
        <v>0.29580419580419581</v>
      </c>
      <c r="F16" s="116">
        <v>-5367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218D-E93C-4025-B50B-8BFED52E7DDB}">
  <dimension ref="B1:F16"/>
  <sheetViews>
    <sheetView workbookViewId="0">
      <selection activeCell="T9" sqref="T9"/>
    </sheetView>
  </sheetViews>
  <sheetFormatPr defaultRowHeight="14.4" x14ac:dyDescent="0.3"/>
  <cols>
    <col min="1" max="1" width="2.88671875" customWidth="1"/>
    <col min="2" max="2" width="7.6640625" customWidth="1"/>
    <col min="3" max="3" width="16.33203125" customWidth="1"/>
    <col min="4" max="4" width="15.21875" customWidth="1"/>
    <col min="5" max="5" width="15.5546875" style="14" customWidth="1"/>
    <col min="6" max="6" width="18.5546875" style="13" customWidth="1"/>
    <col min="7" max="7" width="4.21875" customWidth="1"/>
  </cols>
  <sheetData>
    <row r="1" spans="2:6" x14ac:dyDescent="0.3">
      <c r="E1"/>
      <c r="F1"/>
    </row>
    <row r="2" spans="2:6" ht="18" x14ac:dyDescent="0.35">
      <c r="C2" s="173" t="s">
        <v>41</v>
      </c>
      <c r="D2" s="173"/>
      <c r="E2" s="173"/>
      <c r="F2" s="173"/>
    </row>
    <row r="3" spans="2:6" x14ac:dyDescent="0.3">
      <c r="E3"/>
      <c r="F3"/>
    </row>
    <row r="4" spans="2:6" x14ac:dyDescent="0.3">
      <c r="B4" s="27" t="s">
        <v>35</v>
      </c>
      <c r="C4" s="117" t="s">
        <v>30</v>
      </c>
      <c r="D4" s="28" t="s">
        <v>40</v>
      </c>
      <c r="E4" s="29" t="s">
        <v>42</v>
      </c>
      <c r="F4" s="28" t="s">
        <v>43</v>
      </c>
    </row>
    <row r="5" spans="2:6" x14ac:dyDescent="0.3">
      <c r="B5" s="23" t="s">
        <v>1</v>
      </c>
      <c r="C5" s="118">
        <v>50300</v>
      </c>
      <c r="D5" s="24">
        <v>2.385496183206107E-2</v>
      </c>
      <c r="E5" s="24">
        <v>0.57296222664015906</v>
      </c>
      <c r="F5" s="24">
        <v>0.17003578528827037</v>
      </c>
    </row>
    <row r="6" spans="2:6" x14ac:dyDescent="0.3">
      <c r="B6" s="23" t="s">
        <v>2</v>
      </c>
      <c r="C6" s="118">
        <v>53900</v>
      </c>
      <c r="D6" s="24">
        <v>3.1690140845070422E-2</v>
      </c>
      <c r="E6" s="24">
        <v>0.56794063079777368</v>
      </c>
      <c r="F6" s="24">
        <v>0.17850834879406305</v>
      </c>
    </row>
    <row r="7" spans="2:6" x14ac:dyDescent="0.3">
      <c r="B7" s="23" t="s">
        <v>3</v>
      </c>
      <c r="C7" s="118">
        <v>57850</v>
      </c>
      <c r="D7" s="24">
        <v>3.4313725490196081E-2</v>
      </c>
      <c r="E7" s="24">
        <v>0.56625756266205707</v>
      </c>
      <c r="F7" s="24">
        <v>0.18745721694036302</v>
      </c>
    </row>
    <row r="8" spans="2:6" x14ac:dyDescent="0.3">
      <c r="B8" s="23" t="s">
        <v>4</v>
      </c>
      <c r="C8" s="118">
        <v>56530</v>
      </c>
      <c r="D8" s="24">
        <v>2.4617996604414261E-2</v>
      </c>
      <c r="E8" s="24">
        <v>0.57281089686891917</v>
      </c>
      <c r="F8" s="24">
        <v>0.19514947815319297</v>
      </c>
    </row>
    <row r="9" spans="2:6" x14ac:dyDescent="0.3">
      <c r="B9" s="23" t="s">
        <v>5</v>
      </c>
      <c r="C9" s="118">
        <v>60450</v>
      </c>
      <c r="D9" s="24">
        <v>4.1085271317829457E-2</v>
      </c>
      <c r="E9" s="24">
        <v>0.56253101736972699</v>
      </c>
      <c r="F9" s="24">
        <v>0.1885690653432589</v>
      </c>
    </row>
    <row r="10" spans="2:6" x14ac:dyDescent="0.3">
      <c r="B10" s="23" t="s">
        <v>6</v>
      </c>
      <c r="C10" s="118">
        <v>47170</v>
      </c>
      <c r="D10" s="24">
        <v>2.3421588594704685E-2</v>
      </c>
      <c r="E10" s="24">
        <v>0.57322450710197159</v>
      </c>
      <c r="F10" s="24">
        <v>0.15824040703837186</v>
      </c>
    </row>
    <row r="11" spans="2:6" x14ac:dyDescent="0.3">
      <c r="B11" s="23" t="s">
        <v>7</v>
      </c>
      <c r="C11" s="118">
        <v>50850</v>
      </c>
      <c r="D11" s="24">
        <v>3.5381750465549346E-2</v>
      </c>
      <c r="E11" s="24">
        <v>0.56702064896755167</v>
      </c>
      <c r="F11" s="24">
        <v>0.1618367748279253</v>
      </c>
    </row>
    <row r="12" spans="2:6" x14ac:dyDescent="0.3">
      <c r="B12" s="23" t="s">
        <v>8</v>
      </c>
      <c r="C12" s="118">
        <v>73950</v>
      </c>
      <c r="D12" s="24">
        <v>3.2567049808429116E-2</v>
      </c>
      <c r="E12" s="24">
        <v>0.5658823529411765</v>
      </c>
      <c r="F12" s="24">
        <v>0.21236781609195401</v>
      </c>
    </row>
    <row r="13" spans="2:6" x14ac:dyDescent="0.3">
      <c r="B13" s="23" t="s">
        <v>9</v>
      </c>
      <c r="C13" s="118">
        <v>87500</v>
      </c>
      <c r="D13" s="24">
        <v>2.9157667386609073E-2</v>
      </c>
      <c r="E13" s="24">
        <v>0.56610285714285713</v>
      </c>
      <c r="F13" s="24">
        <v>0.23989942857142857</v>
      </c>
    </row>
    <row r="14" spans="2:6" x14ac:dyDescent="0.3">
      <c r="B14" s="23" t="s">
        <v>10</v>
      </c>
      <c r="C14" s="118">
        <v>41250</v>
      </c>
      <c r="D14" s="24">
        <v>2.9411764705882353E-2</v>
      </c>
      <c r="E14" s="24">
        <v>0.56067878787878789</v>
      </c>
      <c r="F14" s="24">
        <v>9.7949090909090944E-2</v>
      </c>
    </row>
    <row r="15" spans="2:6" x14ac:dyDescent="0.3">
      <c r="B15" s="23" t="s">
        <v>11</v>
      </c>
      <c r="C15" s="118">
        <v>46110</v>
      </c>
      <c r="D15" s="24">
        <v>3.292181069958848E-2</v>
      </c>
      <c r="E15" s="24">
        <v>0.56785946649316854</v>
      </c>
      <c r="F15" s="24">
        <v>0.13821730644111907</v>
      </c>
    </row>
    <row r="16" spans="2:6" x14ac:dyDescent="0.3">
      <c r="B16" s="25" t="s">
        <v>12</v>
      </c>
      <c r="C16" s="119">
        <v>49000</v>
      </c>
      <c r="D16" s="26">
        <v>0.29580419580419581</v>
      </c>
      <c r="E16" s="26">
        <v>0.40173469387755101</v>
      </c>
      <c r="F16" s="26">
        <v>-0.10953061224489796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FFCE-691F-4D4F-8836-1E8E310FBEAC}">
  <dimension ref="B1:Q32"/>
  <sheetViews>
    <sheetView workbookViewId="0">
      <selection activeCell="P7" sqref="P7"/>
    </sheetView>
  </sheetViews>
  <sheetFormatPr defaultRowHeight="14.4" x14ac:dyDescent="0.3"/>
  <cols>
    <col min="1" max="1" width="2.88671875" customWidth="1"/>
    <col min="2" max="2" width="7.6640625" customWidth="1"/>
    <col min="3" max="3" width="12.33203125" customWidth="1"/>
    <col min="4" max="4" width="13.21875" customWidth="1"/>
    <col min="5" max="5" width="14.77734375" style="14" customWidth="1"/>
    <col min="6" max="6" width="20.109375" style="13" customWidth="1"/>
    <col min="7" max="7" width="4.21875" customWidth="1"/>
    <col min="15" max="15" width="8.33203125" customWidth="1"/>
    <col min="16" max="16" width="62.88671875" customWidth="1"/>
    <col min="17" max="17" width="13.33203125" customWidth="1"/>
  </cols>
  <sheetData>
    <row r="1" spans="2:17" ht="18.600000000000001" thickTop="1" x14ac:dyDescent="0.35">
      <c r="C1" s="172" t="s">
        <v>39</v>
      </c>
      <c r="D1" s="172"/>
      <c r="E1" s="172"/>
      <c r="F1" s="172"/>
      <c r="O1" s="171"/>
      <c r="P1" s="95" t="s">
        <v>47</v>
      </c>
      <c r="Q1" s="76" t="s">
        <v>54</v>
      </c>
    </row>
    <row r="2" spans="2:17" x14ac:dyDescent="0.3">
      <c r="E2"/>
      <c r="F2"/>
      <c r="O2" s="171"/>
      <c r="P2" s="96" t="s">
        <v>48</v>
      </c>
      <c r="Q2" s="61">
        <v>0.1387850317962484</v>
      </c>
    </row>
    <row r="3" spans="2:17" x14ac:dyDescent="0.3">
      <c r="B3" s="30" t="s">
        <v>35</v>
      </c>
      <c r="C3" s="102" t="s">
        <v>37</v>
      </c>
      <c r="D3" s="103" t="s">
        <v>38</v>
      </c>
      <c r="E3" s="31" t="s">
        <v>36</v>
      </c>
      <c r="F3" s="103" t="s">
        <v>26</v>
      </c>
      <c r="O3" s="171"/>
      <c r="P3" s="97" t="s">
        <v>56</v>
      </c>
      <c r="Q3" s="77"/>
    </row>
    <row r="4" spans="2:17" x14ac:dyDescent="0.3">
      <c r="B4" s="15" t="s">
        <v>1</v>
      </c>
      <c r="C4" s="104">
        <v>52400</v>
      </c>
      <c r="D4" s="105">
        <v>21480</v>
      </c>
      <c r="E4" s="16">
        <v>2.385496183206107E-2</v>
      </c>
      <c r="F4" s="120">
        <v>8552.7999999999993</v>
      </c>
      <c r="O4" s="171"/>
      <c r="P4" s="98" t="s">
        <v>57</v>
      </c>
      <c r="Q4" s="65">
        <v>0.16583539292828076</v>
      </c>
    </row>
    <row r="5" spans="2:17" x14ac:dyDescent="0.3">
      <c r="B5" s="17" t="s">
        <v>2</v>
      </c>
      <c r="C5" s="106">
        <v>56800</v>
      </c>
      <c r="D5" s="107">
        <v>23288</v>
      </c>
      <c r="E5" s="18">
        <v>3.1690140845070422E-2</v>
      </c>
      <c r="F5" s="121">
        <v>9621.5999999999985</v>
      </c>
      <c r="O5" s="171"/>
      <c r="P5" s="99" t="s">
        <v>49</v>
      </c>
      <c r="Q5" s="74"/>
    </row>
    <row r="6" spans="2:17" x14ac:dyDescent="0.3">
      <c r="B6" s="15" t="s">
        <v>3</v>
      </c>
      <c r="C6" s="104">
        <v>61200</v>
      </c>
      <c r="D6" s="105">
        <v>25092</v>
      </c>
      <c r="E6" s="16">
        <v>3.4313725490196081E-2</v>
      </c>
      <c r="F6" s="120">
        <v>10844.400000000001</v>
      </c>
      <c r="O6" s="171"/>
      <c r="P6" s="99" t="s">
        <v>58</v>
      </c>
      <c r="Q6" s="74"/>
    </row>
    <row r="7" spans="2:17" x14ac:dyDescent="0.3">
      <c r="B7" s="19" t="s">
        <v>4</v>
      </c>
      <c r="C7" s="108">
        <v>58900</v>
      </c>
      <c r="D7" s="109">
        <v>24149</v>
      </c>
      <c r="E7" s="20">
        <v>2.4617996604414261E-2</v>
      </c>
      <c r="F7" s="122">
        <v>11031.8</v>
      </c>
      <c r="O7" s="171"/>
      <c r="P7" s="98" t="s">
        <v>59</v>
      </c>
      <c r="Q7" s="65">
        <v>9.6147104562556471</v>
      </c>
    </row>
    <row r="8" spans="2:17" x14ac:dyDescent="0.3">
      <c r="B8" s="15" t="s">
        <v>5</v>
      </c>
      <c r="C8" s="104">
        <v>64500</v>
      </c>
      <c r="D8" s="105">
        <v>26445</v>
      </c>
      <c r="E8" s="16">
        <v>4.1085271317829457E-2</v>
      </c>
      <c r="F8" s="120">
        <v>11399</v>
      </c>
      <c r="O8" s="171"/>
      <c r="P8" s="97" t="s">
        <v>46</v>
      </c>
      <c r="Q8" s="72">
        <v>0.1040072922164148</v>
      </c>
    </row>
    <row r="9" spans="2:17" x14ac:dyDescent="0.3">
      <c r="B9" s="17" t="s">
        <v>6</v>
      </c>
      <c r="C9" s="106">
        <v>49100</v>
      </c>
      <c r="D9" s="107">
        <v>20131</v>
      </c>
      <c r="E9" s="18">
        <v>2.3421588594704685E-2</v>
      </c>
      <c r="F9" s="121">
        <v>7464.2000000000007</v>
      </c>
      <c r="O9" s="171"/>
      <c r="P9" s="98" t="s">
        <v>50</v>
      </c>
      <c r="Q9" s="72">
        <v>3.0765793431848577E-2</v>
      </c>
    </row>
    <row r="10" spans="2:17" x14ac:dyDescent="0.3">
      <c r="B10" s="15" t="s">
        <v>7</v>
      </c>
      <c r="C10" s="104">
        <v>53700</v>
      </c>
      <c r="D10" s="105">
        <v>22017</v>
      </c>
      <c r="E10" s="16">
        <v>3.5381750465549346E-2</v>
      </c>
      <c r="F10" s="120">
        <v>8229.4000000000015</v>
      </c>
      <c r="O10" s="171"/>
      <c r="P10" s="100" t="s">
        <v>51</v>
      </c>
      <c r="Q10" s="61">
        <v>0.26503840237234721</v>
      </c>
    </row>
    <row r="11" spans="2:17" x14ac:dyDescent="0.3">
      <c r="B11" s="17" t="s">
        <v>8</v>
      </c>
      <c r="C11" s="106">
        <v>78300</v>
      </c>
      <c r="D11" s="107">
        <v>32103</v>
      </c>
      <c r="E11" s="18">
        <v>3.2567049808429116E-2</v>
      </c>
      <c r="F11" s="121">
        <v>15704.599999999999</v>
      </c>
      <c r="O11" s="171"/>
      <c r="P11" s="97" t="s">
        <v>53</v>
      </c>
      <c r="Q11" s="75"/>
    </row>
    <row r="12" spans="2:17" ht="15" thickBot="1" x14ac:dyDescent="0.35">
      <c r="B12" s="15" t="s">
        <v>9</v>
      </c>
      <c r="C12" s="104">
        <v>92600</v>
      </c>
      <c r="D12" s="105">
        <v>37966</v>
      </c>
      <c r="E12" s="16">
        <v>2.9157667386609073E-2</v>
      </c>
      <c r="F12" s="120">
        <v>20991.200000000001</v>
      </c>
      <c r="O12" s="171"/>
      <c r="P12" s="101" t="s">
        <v>52</v>
      </c>
      <c r="Q12" s="78">
        <v>12607.674048027082</v>
      </c>
    </row>
    <row r="13" spans="2:17" ht="15" thickTop="1" x14ac:dyDescent="0.3">
      <c r="B13" s="17" t="s">
        <v>10</v>
      </c>
      <c r="C13" s="106">
        <v>44200</v>
      </c>
      <c r="D13" s="107">
        <v>18122</v>
      </c>
      <c r="E13" s="18">
        <v>2.9411764705882353E-2</v>
      </c>
      <c r="F13" s="121">
        <v>4040.4000000000015</v>
      </c>
      <c r="P13" s="43"/>
      <c r="Q13" s="43"/>
    </row>
    <row r="14" spans="2:17" x14ac:dyDescent="0.3">
      <c r="B14" s="15" t="s">
        <v>11</v>
      </c>
      <c r="C14" s="104">
        <v>48600</v>
      </c>
      <c r="D14" s="105">
        <v>19926</v>
      </c>
      <c r="E14" s="16">
        <v>3.292181069958848E-2</v>
      </c>
      <c r="F14" s="120">
        <v>6373.2000000000007</v>
      </c>
    </row>
    <row r="15" spans="2:17" x14ac:dyDescent="0.3">
      <c r="B15" s="21" t="s">
        <v>12</v>
      </c>
      <c r="C15" s="110">
        <v>71500</v>
      </c>
      <c r="D15" s="111">
        <v>29315</v>
      </c>
      <c r="E15" s="22">
        <v>0.29580419580419581</v>
      </c>
      <c r="F15" s="111">
        <v>-5367</v>
      </c>
    </row>
    <row r="17" spans="2:6" x14ac:dyDescent="0.3">
      <c r="E17"/>
      <c r="F17"/>
    </row>
    <row r="18" spans="2:6" ht="18" x14ac:dyDescent="0.35">
      <c r="C18" s="173" t="s">
        <v>41</v>
      </c>
      <c r="D18" s="173"/>
      <c r="E18" s="173"/>
      <c r="F18" s="173"/>
    </row>
    <row r="19" spans="2:6" x14ac:dyDescent="0.3">
      <c r="E19"/>
      <c r="F19"/>
    </row>
    <row r="20" spans="2:6" x14ac:dyDescent="0.3">
      <c r="B20" s="27" t="s">
        <v>35</v>
      </c>
      <c r="C20" s="117" t="s">
        <v>30</v>
      </c>
      <c r="D20" s="28" t="s">
        <v>40</v>
      </c>
      <c r="E20" s="29" t="s">
        <v>42</v>
      </c>
      <c r="F20" s="92" t="s">
        <v>43</v>
      </c>
    </row>
    <row r="21" spans="2:6" x14ac:dyDescent="0.3">
      <c r="B21" s="23" t="s">
        <v>1</v>
      </c>
      <c r="C21" s="118">
        <v>50300</v>
      </c>
      <c r="D21" s="24">
        <v>2.385496183206107E-2</v>
      </c>
      <c r="E21" s="24">
        <v>0.57296222664015906</v>
      </c>
      <c r="F21" s="93">
        <v>0.17003578528827037</v>
      </c>
    </row>
    <row r="22" spans="2:6" x14ac:dyDescent="0.3">
      <c r="B22" s="23" t="s">
        <v>2</v>
      </c>
      <c r="C22" s="118">
        <v>53900</v>
      </c>
      <c r="D22" s="24">
        <v>3.1690140845070422E-2</v>
      </c>
      <c r="E22" s="24">
        <v>0.56794063079777368</v>
      </c>
      <c r="F22" s="93">
        <v>0.17850834879406305</v>
      </c>
    </row>
    <row r="23" spans="2:6" x14ac:dyDescent="0.3">
      <c r="B23" s="23" t="s">
        <v>3</v>
      </c>
      <c r="C23" s="118">
        <v>57850</v>
      </c>
      <c r="D23" s="24">
        <v>3.4313725490196081E-2</v>
      </c>
      <c r="E23" s="24">
        <v>0.56625756266205707</v>
      </c>
      <c r="F23" s="93">
        <v>0.18745721694036302</v>
      </c>
    </row>
    <row r="24" spans="2:6" x14ac:dyDescent="0.3">
      <c r="B24" s="23" t="s">
        <v>4</v>
      </c>
      <c r="C24" s="118">
        <v>56530</v>
      </c>
      <c r="D24" s="24">
        <v>2.4617996604414261E-2</v>
      </c>
      <c r="E24" s="24">
        <v>0.57281089686891917</v>
      </c>
      <c r="F24" s="93">
        <v>0.19514947815319297</v>
      </c>
    </row>
    <row r="25" spans="2:6" x14ac:dyDescent="0.3">
      <c r="B25" s="23" t="s">
        <v>5</v>
      </c>
      <c r="C25" s="118">
        <v>60450</v>
      </c>
      <c r="D25" s="24">
        <v>4.1085271317829457E-2</v>
      </c>
      <c r="E25" s="24">
        <v>0.56253101736972699</v>
      </c>
      <c r="F25" s="93">
        <v>0.1885690653432589</v>
      </c>
    </row>
    <row r="26" spans="2:6" x14ac:dyDescent="0.3">
      <c r="B26" s="23" t="s">
        <v>6</v>
      </c>
      <c r="C26" s="118">
        <v>47170</v>
      </c>
      <c r="D26" s="24">
        <v>2.3421588594704685E-2</v>
      </c>
      <c r="E26" s="24">
        <v>0.57322450710197159</v>
      </c>
      <c r="F26" s="93">
        <v>0.15824040703837186</v>
      </c>
    </row>
    <row r="27" spans="2:6" x14ac:dyDescent="0.3">
      <c r="B27" s="23" t="s">
        <v>7</v>
      </c>
      <c r="C27" s="118">
        <v>50850</v>
      </c>
      <c r="D27" s="24">
        <v>3.5381750465549346E-2</v>
      </c>
      <c r="E27" s="24">
        <v>0.56702064896755167</v>
      </c>
      <c r="F27" s="93">
        <v>0.1618367748279253</v>
      </c>
    </row>
    <row r="28" spans="2:6" x14ac:dyDescent="0.3">
      <c r="B28" s="23" t="s">
        <v>8</v>
      </c>
      <c r="C28" s="118">
        <v>73950</v>
      </c>
      <c r="D28" s="24">
        <v>3.2567049808429116E-2</v>
      </c>
      <c r="E28" s="24">
        <v>0.5658823529411765</v>
      </c>
      <c r="F28" s="93">
        <v>0.21236781609195401</v>
      </c>
    </row>
    <row r="29" spans="2:6" x14ac:dyDescent="0.3">
      <c r="B29" s="23" t="s">
        <v>9</v>
      </c>
      <c r="C29" s="118">
        <v>87500</v>
      </c>
      <c r="D29" s="24">
        <v>2.9157667386609073E-2</v>
      </c>
      <c r="E29" s="24">
        <v>0.56610285714285713</v>
      </c>
      <c r="F29" s="93">
        <v>0.23989942857142857</v>
      </c>
    </row>
    <row r="30" spans="2:6" x14ac:dyDescent="0.3">
      <c r="B30" s="23" t="s">
        <v>10</v>
      </c>
      <c r="C30" s="118">
        <v>41250</v>
      </c>
      <c r="D30" s="24">
        <v>2.9411764705882353E-2</v>
      </c>
      <c r="E30" s="24">
        <v>0.56067878787878789</v>
      </c>
      <c r="F30" s="93">
        <v>9.7949090909090944E-2</v>
      </c>
    </row>
    <row r="31" spans="2:6" x14ac:dyDescent="0.3">
      <c r="B31" s="23" t="s">
        <v>11</v>
      </c>
      <c r="C31" s="118">
        <v>46110</v>
      </c>
      <c r="D31" s="24">
        <v>3.292181069958848E-2</v>
      </c>
      <c r="E31" s="24">
        <v>0.56785946649316854</v>
      </c>
      <c r="F31" s="93">
        <v>0.13821730644111907</v>
      </c>
    </row>
    <row r="32" spans="2:6" x14ac:dyDescent="0.3">
      <c r="B32" s="25" t="s">
        <v>12</v>
      </c>
      <c r="C32" s="119">
        <v>49000</v>
      </c>
      <c r="D32" s="26">
        <v>0.29580419580419581</v>
      </c>
      <c r="E32" s="26">
        <v>0.40173469387755101</v>
      </c>
      <c r="F32" s="94">
        <v>-0.10953061224489796</v>
      </c>
    </row>
  </sheetData>
  <mergeCells count="2">
    <mergeCell ref="C1:F1"/>
    <mergeCell ref="C18:F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FCD6-B864-40B9-B6F1-0DB287B1E117}">
  <dimension ref="A1:S14"/>
  <sheetViews>
    <sheetView workbookViewId="0">
      <selection activeCell="I23" sqref="I23"/>
    </sheetView>
  </sheetViews>
  <sheetFormatPr defaultRowHeight="14.4" x14ac:dyDescent="0.3"/>
  <cols>
    <col min="2" max="3" width="10.6640625" style="13" bestFit="1" customWidth="1"/>
    <col min="4" max="4" width="10.77734375" style="13" customWidth="1"/>
    <col min="5" max="5" width="11.109375" style="13" customWidth="1"/>
    <col min="6" max="6" width="12.6640625" style="13" customWidth="1"/>
    <col min="7" max="7" width="11.21875" style="13" customWidth="1"/>
    <col min="8" max="8" width="11.109375" style="13" customWidth="1"/>
    <col min="9" max="9" width="11.5546875" style="13" customWidth="1"/>
    <col min="10" max="10" width="11.109375" style="13" customWidth="1"/>
    <col min="11" max="11" width="11" style="13" customWidth="1"/>
    <col min="12" max="12" width="11.6640625" style="13" customWidth="1"/>
    <col min="13" max="13" width="8.88671875" style="14"/>
    <col min="14" max="14" width="14.21875" style="13" bestFit="1" customWidth="1"/>
    <col min="15" max="17" width="9.21875" style="14" bestFit="1" customWidth="1"/>
    <col min="18" max="18" width="9.77734375" style="14" bestFit="1" customWidth="1"/>
    <col min="19" max="19" width="10.109375" style="13" bestFit="1" customWidth="1"/>
  </cols>
  <sheetData>
    <row r="1" spans="1:19" ht="19.2" thickTop="1" thickBot="1" x14ac:dyDescent="0.4">
      <c r="A1" s="36" t="s">
        <v>35</v>
      </c>
      <c r="B1" s="83" t="s">
        <v>13</v>
      </c>
      <c r="C1" s="83" t="s">
        <v>14</v>
      </c>
      <c r="D1" s="83" t="s">
        <v>15</v>
      </c>
      <c r="E1" s="81" t="s">
        <v>38</v>
      </c>
      <c r="F1" s="81" t="s">
        <v>18</v>
      </c>
      <c r="G1" s="80" t="s">
        <v>21</v>
      </c>
      <c r="H1" s="81" t="s">
        <v>22</v>
      </c>
      <c r="I1" s="81" t="s">
        <v>23</v>
      </c>
      <c r="J1" s="80" t="s">
        <v>24</v>
      </c>
      <c r="K1" s="81" t="s">
        <v>25</v>
      </c>
      <c r="L1" s="83" t="s">
        <v>30</v>
      </c>
      <c r="M1" s="82" t="s">
        <v>19</v>
      </c>
      <c r="N1" s="13" t="s">
        <v>33</v>
      </c>
      <c r="O1" s="14" t="s">
        <v>63</v>
      </c>
      <c r="P1" s="14" t="s">
        <v>29</v>
      </c>
      <c r="Q1" s="14" t="s">
        <v>61</v>
      </c>
      <c r="R1" s="14" t="s">
        <v>62</v>
      </c>
      <c r="S1" s="13" t="s">
        <v>60</v>
      </c>
    </row>
    <row r="2" spans="1:19" ht="15.6" thickTop="1" thickBot="1" x14ac:dyDescent="0.35">
      <c r="A2" s="33" t="s">
        <v>1</v>
      </c>
      <c r="B2" s="150">
        <v>52400</v>
      </c>
      <c r="C2" s="151">
        <v>1250</v>
      </c>
      <c r="D2" s="150">
        <v>850</v>
      </c>
      <c r="E2" s="152">
        <v>21480</v>
      </c>
      <c r="F2" s="152">
        <v>112000</v>
      </c>
      <c r="G2" s="153">
        <v>2800</v>
      </c>
      <c r="H2" s="152">
        <v>1467.2</v>
      </c>
      <c r="I2" s="152">
        <v>11500</v>
      </c>
      <c r="J2" s="153">
        <v>4500</v>
      </c>
      <c r="K2" s="152">
        <f t="shared" ref="K2:K13" si="0">SUM(G2:J2)</f>
        <v>20267.2</v>
      </c>
      <c r="L2" s="154">
        <f t="shared" ref="L2:L13" si="1">B2-(C2+D2)</f>
        <v>50300</v>
      </c>
      <c r="M2" s="6">
        <f t="shared" ref="M2:M13" si="2">E2/F2</f>
        <v>0.19178571428571428</v>
      </c>
      <c r="N2" s="162">
        <v>28820</v>
      </c>
      <c r="O2" s="14">
        <v>0.57296222664015906</v>
      </c>
      <c r="P2" s="14">
        <v>0.95992366412213737</v>
      </c>
      <c r="Q2" s="14">
        <v>2.385496183206107E-2</v>
      </c>
      <c r="R2" s="14">
        <v>0.17003578528827037</v>
      </c>
      <c r="S2" s="162">
        <v>8552.7999999999993</v>
      </c>
    </row>
    <row r="3" spans="1:19" ht="15.6" thickTop="1" thickBot="1" x14ac:dyDescent="0.35">
      <c r="A3" s="34" t="s">
        <v>2</v>
      </c>
      <c r="B3" s="155">
        <v>56800</v>
      </c>
      <c r="C3" s="156">
        <v>1800</v>
      </c>
      <c r="D3" s="155">
        <v>1100</v>
      </c>
      <c r="E3" s="155">
        <v>23288</v>
      </c>
      <c r="F3" s="155">
        <v>118500</v>
      </c>
      <c r="G3" s="157">
        <v>3100</v>
      </c>
      <c r="H3" s="155">
        <v>1590.4</v>
      </c>
      <c r="I3" s="155">
        <v>11800</v>
      </c>
      <c r="J3" s="157">
        <v>4500</v>
      </c>
      <c r="K3" s="155">
        <f t="shared" si="0"/>
        <v>20990.400000000001</v>
      </c>
      <c r="L3" s="158">
        <f t="shared" si="1"/>
        <v>53900</v>
      </c>
      <c r="M3" s="11">
        <f t="shared" si="2"/>
        <v>0.19652320675105486</v>
      </c>
      <c r="N3" s="162">
        <v>30612</v>
      </c>
      <c r="O3" s="14">
        <v>0.56794063079777368</v>
      </c>
      <c r="P3" s="14">
        <v>0.948943661971831</v>
      </c>
      <c r="Q3" s="14">
        <v>3.1690140845070422E-2</v>
      </c>
      <c r="R3" s="14">
        <v>0.17850834879406305</v>
      </c>
      <c r="S3" s="162">
        <v>9621.5999999999985</v>
      </c>
    </row>
    <row r="4" spans="1:19" ht="15.6" thickTop="1" thickBot="1" x14ac:dyDescent="0.35">
      <c r="A4" s="34" t="s">
        <v>3</v>
      </c>
      <c r="B4" s="155">
        <v>61200</v>
      </c>
      <c r="C4" s="156">
        <v>2100</v>
      </c>
      <c r="D4" s="155">
        <v>1250</v>
      </c>
      <c r="E4" s="150">
        <v>25092</v>
      </c>
      <c r="F4" s="150">
        <v>115000</v>
      </c>
      <c r="G4" s="157">
        <v>3500</v>
      </c>
      <c r="H4" s="155">
        <v>1713.6</v>
      </c>
      <c r="I4" s="155">
        <v>12200</v>
      </c>
      <c r="J4" s="157">
        <v>4500</v>
      </c>
      <c r="K4" s="155">
        <f t="shared" si="0"/>
        <v>21913.599999999999</v>
      </c>
      <c r="L4" s="158">
        <f t="shared" si="1"/>
        <v>57850</v>
      </c>
      <c r="M4" s="5">
        <f t="shared" si="2"/>
        <v>0.21819130434782608</v>
      </c>
      <c r="N4" s="162">
        <v>32758</v>
      </c>
      <c r="O4" s="14">
        <v>0.56625756266205707</v>
      </c>
      <c r="P4" s="14">
        <v>0.9452614379084967</v>
      </c>
      <c r="Q4" s="14">
        <v>3.4313725490196081E-2</v>
      </c>
      <c r="R4" s="14">
        <v>0.18745721694036302</v>
      </c>
      <c r="S4" s="162">
        <v>10844.400000000001</v>
      </c>
    </row>
    <row r="5" spans="1:19" ht="15.6" thickTop="1" thickBot="1" x14ac:dyDescent="0.35">
      <c r="A5" s="35" t="s">
        <v>4</v>
      </c>
      <c r="B5" s="150">
        <v>58900</v>
      </c>
      <c r="C5" s="159">
        <v>1450</v>
      </c>
      <c r="D5" s="150">
        <v>920</v>
      </c>
      <c r="E5" s="155">
        <v>24149</v>
      </c>
      <c r="F5" s="155">
        <v>121200</v>
      </c>
      <c r="G5" s="151">
        <v>3200</v>
      </c>
      <c r="H5" s="150">
        <v>1649.2</v>
      </c>
      <c r="I5" s="150">
        <v>12000</v>
      </c>
      <c r="J5" s="151">
        <v>4500</v>
      </c>
      <c r="K5" s="150">
        <f t="shared" si="0"/>
        <v>21349.200000000001</v>
      </c>
      <c r="L5" s="154">
        <f t="shared" si="1"/>
        <v>56530</v>
      </c>
      <c r="M5" s="11">
        <f t="shared" si="2"/>
        <v>0.19924917491749175</v>
      </c>
      <c r="N5" s="162">
        <v>32381</v>
      </c>
      <c r="O5" s="14">
        <v>0.57281089686891917</v>
      </c>
      <c r="P5" s="14">
        <v>0.95976230899830217</v>
      </c>
      <c r="Q5" s="14">
        <v>2.4617996604414261E-2</v>
      </c>
      <c r="R5" s="14">
        <v>0.19514947815319297</v>
      </c>
      <c r="S5" s="162">
        <v>11031.8</v>
      </c>
    </row>
    <row r="6" spans="1:19" ht="15.6" thickTop="1" thickBot="1" x14ac:dyDescent="0.35">
      <c r="A6" s="35" t="s">
        <v>5</v>
      </c>
      <c r="B6" s="155">
        <v>64500</v>
      </c>
      <c r="C6" s="156">
        <v>2650</v>
      </c>
      <c r="D6" s="155">
        <v>1400</v>
      </c>
      <c r="E6" s="150">
        <v>26445</v>
      </c>
      <c r="F6" s="150">
        <v>110800</v>
      </c>
      <c r="G6" s="157">
        <v>3800</v>
      </c>
      <c r="H6" s="155">
        <v>1806</v>
      </c>
      <c r="I6" s="155">
        <v>12500</v>
      </c>
      <c r="J6" s="157">
        <v>4500</v>
      </c>
      <c r="K6" s="155">
        <f t="shared" si="0"/>
        <v>22606</v>
      </c>
      <c r="L6" s="158">
        <f t="shared" si="1"/>
        <v>60450</v>
      </c>
      <c r="M6" s="5">
        <f t="shared" si="2"/>
        <v>0.23867328519855596</v>
      </c>
      <c r="N6" s="162">
        <v>34005</v>
      </c>
      <c r="O6" s="14">
        <v>0.56253101736972699</v>
      </c>
      <c r="P6" s="14">
        <v>0.93720930232558142</v>
      </c>
      <c r="Q6" s="14">
        <v>4.1085271317829457E-2</v>
      </c>
      <c r="R6" s="14">
        <v>0.1885690653432589</v>
      </c>
      <c r="S6" s="162">
        <v>11399</v>
      </c>
    </row>
    <row r="7" spans="1:19" ht="15.6" thickTop="1" thickBot="1" x14ac:dyDescent="0.35">
      <c r="A7" s="34" t="s">
        <v>6</v>
      </c>
      <c r="B7" s="150">
        <v>49100</v>
      </c>
      <c r="C7" s="159">
        <v>1150</v>
      </c>
      <c r="D7" s="150">
        <v>780</v>
      </c>
      <c r="E7" s="155">
        <v>20131</v>
      </c>
      <c r="F7" s="155">
        <v>125400</v>
      </c>
      <c r="G7" s="151">
        <v>2500</v>
      </c>
      <c r="H7" s="150">
        <v>1374.8</v>
      </c>
      <c r="I7" s="150">
        <v>11200</v>
      </c>
      <c r="J7" s="151">
        <v>4500</v>
      </c>
      <c r="K7" s="150">
        <f t="shared" si="0"/>
        <v>19574.8</v>
      </c>
      <c r="L7" s="154">
        <f t="shared" si="1"/>
        <v>47170</v>
      </c>
      <c r="M7" s="11">
        <f t="shared" si="2"/>
        <v>0.16053429027113236</v>
      </c>
      <c r="N7" s="162">
        <v>27039</v>
      </c>
      <c r="O7" s="14">
        <v>0.57322450710197159</v>
      </c>
      <c r="P7" s="14">
        <v>0.96069246435845213</v>
      </c>
      <c r="Q7" s="14">
        <v>2.3421588594704685E-2</v>
      </c>
      <c r="R7" s="14">
        <v>0.15824040703837186</v>
      </c>
      <c r="S7" s="162">
        <v>7464.2000000000007</v>
      </c>
    </row>
    <row r="8" spans="1:19" ht="15.6" thickTop="1" thickBot="1" x14ac:dyDescent="0.35">
      <c r="A8" s="34" t="s">
        <v>7</v>
      </c>
      <c r="B8" s="155">
        <v>53700</v>
      </c>
      <c r="C8" s="156">
        <v>1900</v>
      </c>
      <c r="D8" s="155">
        <v>950</v>
      </c>
      <c r="E8" s="150">
        <v>22017</v>
      </c>
      <c r="F8" s="150">
        <v>130000</v>
      </c>
      <c r="G8" s="160">
        <v>3000</v>
      </c>
      <c r="H8" s="161">
        <v>1503.6</v>
      </c>
      <c r="I8" s="161">
        <v>11600</v>
      </c>
      <c r="J8" s="160">
        <v>4500</v>
      </c>
      <c r="K8" s="161">
        <f t="shared" si="0"/>
        <v>20603.599999999999</v>
      </c>
      <c r="L8" s="158">
        <f t="shared" si="1"/>
        <v>50850</v>
      </c>
      <c r="M8" s="5">
        <f t="shared" si="2"/>
        <v>0.16936153846153845</v>
      </c>
      <c r="N8" s="162">
        <v>28833</v>
      </c>
      <c r="O8" s="14">
        <v>0.56702064896755167</v>
      </c>
      <c r="P8" s="14">
        <v>0.94692737430167595</v>
      </c>
      <c r="Q8" s="14">
        <v>3.5381750465549346E-2</v>
      </c>
      <c r="R8" s="14">
        <v>0.1618367748279253</v>
      </c>
      <c r="S8" s="162">
        <v>8229.4000000000015</v>
      </c>
    </row>
    <row r="9" spans="1:19" ht="15.6" thickTop="1" thickBot="1" x14ac:dyDescent="0.35">
      <c r="A9" s="34" t="s">
        <v>8</v>
      </c>
      <c r="B9" s="150">
        <v>78300</v>
      </c>
      <c r="C9" s="159">
        <v>2550</v>
      </c>
      <c r="D9" s="150">
        <v>1800</v>
      </c>
      <c r="E9" s="155">
        <v>32103</v>
      </c>
      <c r="F9" s="155">
        <v>105200</v>
      </c>
      <c r="G9" s="157">
        <v>5500</v>
      </c>
      <c r="H9" s="155">
        <v>2192.4</v>
      </c>
      <c r="I9" s="155">
        <v>13800</v>
      </c>
      <c r="J9" s="157">
        <v>4650</v>
      </c>
      <c r="K9" s="155">
        <f t="shared" si="0"/>
        <v>26142.400000000001</v>
      </c>
      <c r="L9" s="154">
        <f t="shared" si="1"/>
        <v>73950</v>
      </c>
      <c r="M9" s="11">
        <f t="shared" si="2"/>
        <v>0.30516159695817491</v>
      </c>
      <c r="N9" s="162">
        <v>41847</v>
      </c>
      <c r="O9" s="14">
        <v>0.5658823529411765</v>
      </c>
      <c r="P9" s="14">
        <v>0.94444444444444442</v>
      </c>
      <c r="Q9" s="14">
        <v>3.2567049808429116E-2</v>
      </c>
      <c r="R9" s="14">
        <v>0.21236781609195401</v>
      </c>
      <c r="S9" s="162">
        <v>15704.599999999999</v>
      </c>
    </row>
    <row r="10" spans="1:19" ht="15.6" thickTop="1" thickBot="1" x14ac:dyDescent="0.35">
      <c r="A10" s="34" t="s">
        <v>9</v>
      </c>
      <c r="B10" s="155">
        <v>92600</v>
      </c>
      <c r="C10" s="156">
        <v>2700</v>
      </c>
      <c r="D10" s="155">
        <v>2400</v>
      </c>
      <c r="E10" s="150">
        <v>37966</v>
      </c>
      <c r="F10" s="150">
        <v>92000</v>
      </c>
      <c r="G10" s="151">
        <v>6800</v>
      </c>
      <c r="H10" s="150">
        <v>2592.8000000000002</v>
      </c>
      <c r="I10" s="150">
        <v>14500</v>
      </c>
      <c r="J10" s="151">
        <v>4650</v>
      </c>
      <c r="K10" s="150">
        <f t="shared" si="0"/>
        <v>28542.799999999999</v>
      </c>
      <c r="L10" s="158">
        <f t="shared" si="1"/>
        <v>87500</v>
      </c>
      <c r="M10" s="5">
        <f t="shared" si="2"/>
        <v>0.41267391304347828</v>
      </c>
      <c r="N10" s="162">
        <v>49534</v>
      </c>
      <c r="O10" s="14">
        <v>0.56610285714285713</v>
      </c>
      <c r="P10" s="14">
        <v>0.94492440604751615</v>
      </c>
      <c r="Q10" s="14">
        <v>2.9157667386609073E-2</v>
      </c>
      <c r="R10" s="14">
        <v>0.23989942857142857</v>
      </c>
      <c r="S10" s="162">
        <v>20991.200000000001</v>
      </c>
    </row>
    <row r="11" spans="1:19" ht="15.6" thickTop="1" thickBot="1" x14ac:dyDescent="0.35">
      <c r="A11" s="34" t="s">
        <v>10</v>
      </c>
      <c r="B11" s="150">
        <v>44200</v>
      </c>
      <c r="C11" s="159">
        <v>1300</v>
      </c>
      <c r="D11" s="150">
        <v>1650</v>
      </c>
      <c r="E11" s="155">
        <v>18122</v>
      </c>
      <c r="F11" s="155">
        <v>114300</v>
      </c>
      <c r="G11" s="157">
        <v>2200</v>
      </c>
      <c r="H11" s="155">
        <v>1237.5999999999999</v>
      </c>
      <c r="I11" s="155">
        <v>11000</v>
      </c>
      <c r="J11" s="157">
        <v>4650</v>
      </c>
      <c r="K11" s="155">
        <f t="shared" si="0"/>
        <v>19087.599999999999</v>
      </c>
      <c r="L11" s="154">
        <f t="shared" si="1"/>
        <v>41250</v>
      </c>
      <c r="M11" s="11">
        <f t="shared" si="2"/>
        <v>0.15854768153980753</v>
      </c>
      <c r="N11" s="162">
        <v>23128</v>
      </c>
      <c r="O11" s="14">
        <v>0.56067878787878789</v>
      </c>
      <c r="P11" s="14">
        <v>0.93325791855203621</v>
      </c>
      <c r="Q11" s="14">
        <v>2.9411764705882353E-2</v>
      </c>
      <c r="R11" s="14">
        <v>9.7949090909090944E-2</v>
      </c>
      <c r="S11" s="162">
        <v>4040.4000000000015</v>
      </c>
    </row>
    <row r="12" spans="1:19" ht="15.6" thickTop="1" thickBot="1" x14ac:dyDescent="0.35">
      <c r="A12" s="34" t="s">
        <v>11</v>
      </c>
      <c r="B12" s="155">
        <v>48600</v>
      </c>
      <c r="C12" s="156">
        <v>1600</v>
      </c>
      <c r="D12" s="155">
        <v>890</v>
      </c>
      <c r="E12" s="150">
        <v>19926</v>
      </c>
      <c r="F12" s="150">
        <v>120100</v>
      </c>
      <c r="G12" s="151">
        <v>2600</v>
      </c>
      <c r="H12" s="150">
        <v>1360.8</v>
      </c>
      <c r="I12" s="150">
        <v>11200</v>
      </c>
      <c r="J12" s="151">
        <v>4650</v>
      </c>
      <c r="K12" s="150">
        <f t="shared" si="0"/>
        <v>19810.8</v>
      </c>
      <c r="L12" s="158">
        <f t="shared" si="1"/>
        <v>46110</v>
      </c>
      <c r="M12" s="5">
        <f t="shared" si="2"/>
        <v>0.16591174021648625</v>
      </c>
      <c r="N12" s="162">
        <v>26184</v>
      </c>
      <c r="O12" s="14">
        <v>0.56785946649316854</v>
      </c>
      <c r="P12" s="14">
        <v>0.9487654320987654</v>
      </c>
      <c r="Q12" s="14">
        <v>3.292181069958848E-2</v>
      </c>
      <c r="R12" s="14">
        <v>0.13821730644111907</v>
      </c>
      <c r="S12" s="162">
        <v>6373.2000000000007</v>
      </c>
    </row>
    <row r="13" spans="1:19" ht="15.6" thickTop="1" thickBot="1" x14ac:dyDescent="0.35">
      <c r="A13" s="34" t="s">
        <v>12</v>
      </c>
      <c r="B13" s="155">
        <v>71500</v>
      </c>
      <c r="C13" s="156">
        <v>21150</v>
      </c>
      <c r="D13" s="155">
        <v>1350</v>
      </c>
      <c r="E13" s="155">
        <v>29315</v>
      </c>
      <c r="F13" s="155">
        <v>98400</v>
      </c>
      <c r="G13" s="155">
        <v>5200</v>
      </c>
      <c r="H13" s="155">
        <v>2002</v>
      </c>
      <c r="I13" s="158">
        <v>13200</v>
      </c>
      <c r="J13" s="157">
        <v>4650</v>
      </c>
      <c r="K13" s="155">
        <f t="shared" si="0"/>
        <v>25052</v>
      </c>
      <c r="L13" s="155">
        <f t="shared" si="1"/>
        <v>49000</v>
      </c>
      <c r="M13" s="10">
        <f t="shared" si="2"/>
        <v>0.29791666666666666</v>
      </c>
      <c r="N13" s="162">
        <v>19685</v>
      </c>
      <c r="O13" s="14">
        <v>0.40173469387755101</v>
      </c>
      <c r="P13" s="14">
        <v>0.68531468531468531</v>
      </c>
      <c r="Q13" s="14">
        <v>0.29580419580419581</v>
      </c>
      <c r="R13" s="14">
        <v>-0.10953061224489796</v>
      </c>
      <c r="S13" s="162">
        <v>-5367</v>
      </c>
    </row>
    <row r="14" spans="1:19" ht="15" thickTop="1" x14ac:dyDescent="0.3">
      <c r="N14" s="1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Sales_Discrepancy_P&amp;L</vt:lpstr>
      <vt:lpstr>Dashboard</vt:lpstr>
      <vt:lpstr>Discount Drag</vt:lpstr>
      <vt:lpstr>Discounts</vt:lpstr>
      <vt:lpstr>Monthly NOI</vt:lpstr>
      <vt:lpstr>Gross to Net Ratio</vt:lpstr>
      <vt:lpstr>Income Analysis</vt:lpstr>
      <vt:lpstr>Sales Trend Analysis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Meowww</dc:creator>
  <cp:lastModifiedBy>Cat Meowww</cp:lastModifiedBy>
  <dcterms:created xsi:type="dcterms:W3CDTF">2026-09-12T03:14:54Z</dcterms:created>
  <dcterms:modified xsi:type="dcterms:W3CDTF">2026-10-23T01:22:35Z</dcterms:modified>
</cp:coreProperties>
</file>